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1" autoFilterDateGrouping="1"/>
  </bookViews>
  <sheets>
    <sheet name="Inputs" sheetId="1" state="visible" r:id="rId1"/>
    <sheet name="Real-Bug-Data" sheetId="2" state="visible" r:id="rId2"/>
    <sheet name="Real-Build-Times" sheetId="3" state="visible" r:id="rId3"/>
    <sheet name="Process-Steps" sheetId="4" state="visible" r:id="rId4"/>
    <sheet name="Nuget-vs-ProjectRef" sheetId="5" state="visible" r:id="rId5"/>
    <sheet name="Defect-Distribution-PCE" sheetId="6" state="visible" r:id="rId6"/>
    <sheet name="Bug-Cost-by-Stage" sheetId="7" state="visible" r:id="rId7"/>
    <sheet name="Development-Fix-Workflow" sheetId="8" state="visible" r:id="rId8"/>
    <sheet name="Pipeline-Cost" sheetId="9" state="visible" r:id="rId9"/>
    <sheet name="Cycle-Time-Sprint" sheetId="10" state="visible" r:id="rId10"/>
    <sheet name="Workarounds" sheetId="11" state="visible" r:id="rId11"/>
    <sheet name="ROI-Summary" sheetId="12" state="visible" r:id="rId12"/>
    <sheet name="Sensitivity" sheetId="13" state="visible" r:id="rId13"/>
  </sheets>
  <definedNames>
    <definedName name="team_size">Inputs!$B$5</definedName>
    <definedName name="hourly_rate">Inputs!$B$6</definedName>
    <definedName name="working_days_per_year">Inputs!$B$7</definedName>
    <definedName name="working_days_per_sprint">Inputs!$B$8</definedName>
    <definedName name="sprints_per_year">Inputs!$B$9</definedName>
    <definedName name="bugs_per_year">Inputs!$B$11</definedName>
    <definedName name="pct_today_local">Inputs!$B$12</definedName>
    <definedName name="pct_today_dev">Inputs!$B$13</definedName>
    <definedName name="pct_today_stg">Inputs!$B$14</definedName>
    <definedName name="pct_today_prod">Inputs!$B$15</definedName>
    <definedName name="pct_target_local">Inputs!$B$17</definedName>
    <definedName name="pct_target_dev">Inputs!$B$18</definedName>
    <definedName name="pct_target_stg">Inputs!$B$19</definedName>
    <definedName name="pct_target_prod">Inputs!$B$20</definedName>
    <definedName name="mult_local">Inputs!$B$22</definedName>
    <definedName name="mult_dev">Inputs!$B$23</definedName>
    <definedName name="mult_stg">Inputs!$B$24</definedName>
    <definedName name="mult_prod">Inputs!$B$25</definedName>
    <definedName name="local_fix_hours">Inputs!$B$26</definedName>
    <definedName name="triage_min">Inputs!$B$28</definedName>
    <definedName name="branch_repro_min">Inputs!$B$29</definedName>
    <definedName name="code_fix_min">Inputs!$B$30</definedName>
    <definedName name="ai_check_min">Inputs!$B$31</definedName>
    <definedName name="ai_check_tool_cost">Inputs!$B$32</definedName>
    <definedName name="push_wait_min">Inputs!$B$33</definedName>
    <definedName name="push_idle_factor">Inputs!$B$34</definedName>
    <definedName name="pr_create_min">Inputs!$B$35</definedName>
    <definedName name="review_wait_hours">Inputs!$B$36</definedName>
    <definedName name="review_wait_idle_factor">Inputs!$B$37</definedName>
    <definedName name="reviewer_review_min">Inputs!$B$38</definedName>
    <definedName name="review_rounds">Inputs!$B$39</definedName>
    <definedName name="review_round_dev_min">Inputs!$B$40</definedName>
    <definedName name="review_round_reviewer_min">Inputs!$B$41</definedName>
    <definedName name="approve_merge_min">Inputs!$B$42</definedName>
    <definedName name="redeploy_min">Inputs!$B$43</definedName>
    <definedName name="redeploy_idle_factor">Inputs!$B$44</definedName>
    <definedName name="reverify_min">Inputs!$B$45</definedName>
    <definedName name="retry_rate">Inputs!$B$46</definedName>
    <definedName name="iterations_per_dev_per_day">Inputs!$B$48</definedName>
    <definedName name="cycle_time_today_min">Inputs!$B$49</definedName>
    <definedName name="cycle_time_target_min">Inputs!$B$50</definedName>
    <definedName name="cycle_idle_recovery_factor">Inputs!$B$51</definedName>
    <definedName name="context_switch_multiplier">Inputs!$B$52</definedName>
    <definedName name="builds_per_dev_per_day">Inputs!$B$54</definedName>
    <definedName name="pipeline_duration_min">Inputs!$B$55</definedName>
    <definedName name="queue_wait_min">Inputs!$B$56</definedName>
    <definedName name="pipeline_cost_per_min">Inputs!$B$57</definedName>
    <definedName name="parallel_jobs_extra">Inputs!$B$58</definedName>
    <definedName name="parallel_job_monthly_cost">Inputs!$B$59</definedName>
    <definedName name="ms_hosted_parallel_jobs">Inputs!$B$60</definedName>
    <definedName name="self_hosted_parallel_jobs">Inputs!$B$61</definedName>
    <definedName name="ms_hosted_monthly_cost">Inputs!$B$62</definedName>
    <definedName name="self_hosted_monthly_cost">Inputs!$B$63</definedName>
    <definedName name="pipeline_failure_rate">Inputs!$B$64</definedName>
    <definedName name="pct_retries_caused_by_local">Inputs!$B$65</definedName>
    <definedName name="pipeline_idle_recovery_factor">Inputs!$B$66</definedName>
    <definedName name="workaround_hours_per_week_total">Inputs!$B$68</definedName>
    <definedName name="workaround_weeks_per_year">Inputs!$B$69</definedName>
    <definedName name="pct_env_or_integration_related">Inputs!$B$71</definedName>
    <definedName name="pct_preventable_with_local">Inputs!$B$72</definedName>
    <definedName name="setup_engineer_hours">Inputs!$B$74</definedName>
    <definedName name="onboarding_doc_hours">Inputs!$B$75</definedName>
    <definedName name="training_hours_per_dev">Inputs!$B$76</definedName>
    <definedName name="machine_upgrade_cost">Inputs!$B$77</definedName>
    <definedName name="docker_license_cost_per_user_per_month">Inputs!$B$78</definedName>
    <definedName name="apply_docker_license_cost">Inputs!$B$79</definedName>
    <definedName name="annual_maintenance_hours">Inputs!$B$80</definedName>
    <definedName name="data_period_months">Inputs!$B$82</definedName>
    <definedName name="total_work_items_in_period">Inputs!$B$83</definedName>
    <definedName name="pct_rework_caught_pre_qa">Inputs!$B$84</definedName>
    <definedName name="redo_factor_pre_qa">Inputs!$B$85</definedName>
    <definedName name="redo_factor_post_qa">Inputs!$B$86</definedName>
    <definedName name="nuget_rebuild_min">Inputs!$B$88</definedName>
    <definedName name="nuget_rebuilds_per_dev_per_day">Inputs!$B$89</definedName>
    <definedName name="nuget_idle_factor">Inputs!$B$90</definedName>
    <definedName name="nuget_pkgs_per_dev_per_cross_pkg_feature">Inputs!$B$91</definedName>
    <definedName name="cross_pkg_features_per_dev_per_year">Inputs!$B$92</definedName>
    <definedName name="nuget_rebuilds_per_rework_cycle">Inputs!$B$93</definedName>
    <definedName name="pct_nuget_eliminable_with_project_refs">Inputs!$B$94</definedName>
    <definedName name="project_ref_migration_one_time_hours">Inputs!$B$95</definedName>
    <definedName name="project_ref_migration_team_size">Inputs!$B$96</definedName>
    <definedName name="nuget_external_consumer_pkgs_per_year">Inputs!$B$97</definedName>
    <definedName name="use_bottom_up_multiplier">Inputs!$B$99</definedName>
    <definedName name="use_real_data">Inputs!$B$100</definedName>
    <definedName name="apply_project_ref_savings">Inputs!$B$101</definedName>
    <definedName name="discount_rate">Inputs!$B$102</definedName>
    <definedName name="real_rework_items_count">'Real-Bug-Data'!$C$33</definedName>
    <definedName name="real_rework_prs_total">'Real-Bug-Data'!$C$34</definedName>
    <definedName name="real_avg_prs_per_rework">'Real-Bug-Data'!$C$35</definedName>
    <definedName name="real_rework_items_annual">'Real-Bug-Data'!$C$41</definedName>
    <definedName name="real_extra_pr_cycles_annual">'Real-Bug-Data'!$C$42</definedName>
    <definedName name="redo_factor_blended">'Real-Bug-Data'!$C$46</definedName>
    <definedName name="real_median_build_min">'Real-Build-Times'!$B$32</definedName>
    <definedName name="real_mean_build_min">'Real-Build-Times'!$B$33</definedName>
    <definedName name="real_max_build_min">'Real-Build-Times'!$B$35</definedName>
    <definedName name="real_critical_path_min">'Real-Build-Times'!$B$38</definedName>
    <definedName name="effective_pipeline_min">'Real-Build-Times'!$B$41</definedName>
    <definedName name="annual_nuget_tax">'Nuget-vs-ProjectRef'!$B$23</definedName>
    <definedName name="annual_project_ref_savings">'Nuget-vs-ProjectRef'!$B$33</definedName>
    <definedName name="annual_shift_left_savings">'Defect-Distribution-PCE'!$B$22</definedName>
    <definedName name="development_fix_total">'Development-Fix-Workflow'!$E$23</definedName>
    <definedName name="annual_workflow_tax">'Development-Fix-Workflow'!$E$29</definedName>
    <definedName name="annual_rework_savings">'Development-Fix-Workflow'!$E$38</definedName>
    <definedName name="annual_pipeline_savings">'Pipeline-Cost'!$B$23</definedName>
    <definedName name="annual_sprint_savings">'Cycle-Time-Sprint'!$B$18</definedName>
    <definedName name="annual_workaround_savings">'Workarounds'!$E$18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00"/>
    <numFmt numFmtId="167" formatCode="0.0"/>
    <numFmt numFmtId="168" formatCode="$#,##0"/>
    <numFmt numFmtId="169" formatCode="0.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  <font>
      <i val="1"/>
      <color rgb="00595959"/>
      <sz val="9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BE4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4" fillId="4" borderId="1" applyAlignment="1" pivotButton="0" quotePrefix="0" xfId="0">
      <alignment horizontal="right"/>
    </xf>
    <xf numFmtId="0" fontId="5" fillId="0" borderId="1" applyAlignment="1" pivotButton="0" quotePrefix="0" xfId="0">
      <alignment wrapText="1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5" fillId="0" borderId="0" pivotButton="0" quotePrefix="0" xfId="0"/>
    <xf numFmtId="3" fontId="0" fillId="0" borderId="1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1" pivotButton="0" quotePrefix="0" xfId="0"/>
    <xf numFmtId="167" fontId="0" fillId="0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5" borderId="0" pivotButton="0" quotePrefix="0" xfId="0"/>
    <xf numFmtId="168" fontId="3" fillId="5" borderId="0" pivotButton="0" quotePrefix="0" xfId="0"/>
    <xf numFmtId="0" fontId="5" fillId="0" borderId="1" pivotButton="0" quotePrefix="0" xfId="0"/>
    <xf numFmtId="165" fontId="0" fillId="0" borderId="1" pivotButton="0" quotePrefix="0" xfId="0"/>
    <xf numFmtId="165" fontId="3" fillId="5" borderId="0" pivotButton="0" quotePrefix="0" xfId="0"/>
    <xf numFmtId="2" fontId="3" fillId="5" borderId="0" pivotButton="0" quotePrefix="0" xfId="0"/>
    <xf numFmtId="168" fontId="0" fillId="0" borderId="1" pivotButton="0" quotePrefix="0" xfId="0"/>
    <xf numFmtId="164" fontId="0" fillId="0" borderId="1" pivotButton="0" quotePrefix="0" xfId="0"/>
    <xf numFmtId="164" fontId="3" fillId="5" borderId="0" pivotButton="0" quotePrefix="0" xfId="0"/>
    <xf numFmtId="164" fontId="0" fillId="0" borderId="0" pivotButton="0" quotePrefix="0" xfId="0"/>
    <xf numFmtId="0" fontId="0" fillId="4" borderId="1" pivotButton="0" quotePrefix="0" xfId="0"/>
    <xf numFmtId="167" fontId="3" fillId="5" borderId="0" pivotButton="0" quotePrefix="0" xfId="0"/>
    <xf numFmtId="0" fontId="6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Inputs — edit the orange cells; everything else recalculates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--- Team &amp; Finance ---</t>
        </is>
      </c>
      <c r="B4" s="4" t="n"/>
      <c r="C4" s="4" t="n"/>
      <c r="D4" s="4" t="n"/>
    </row>
    <row r="5">
      <c r="A5" s="5" t="inlineStr">
        <is>
          <t>Team size (active developers)</t>
        </is>
      </c>
      <c r="B5" s="6" t="n">
        <v>8</v>
      </c>
      <c r="C5" s="5" t="inlineStr">
        <is>
          <t>devs</t>
        </is>
      </c>
      <c r="D5" s="7" t="inlineStr">
        <is>
          <t>Active devs on this team</t>
        </is>
      </c>
    </row>
    <row r="6">
      <c r="A6" s="5" t="inlineStr">
        <is>
          <t>Loaded hourly rate</t>
        </is>
      </c>
      <c r="B6" s="8" t="n">
        <v>85</v>
      </c>
      <c r="C6" s="5" t="inlineStr">
        <is>
          <t>$/hr</t>
        </is>
      </c>
      <c r="D6" s="7" t="inlineStr">
        <is>
          <t>Fully loaded: salary + benefits + overhead</t>
        </is>
      </c>
    </row>
    <row r="7">
      <c r="A7" s="5" t="inlineStr">
        <is>
          <t>Working days per year</t>
        </is>
      </c>
      <c r="B7" s="6" t="n">
        <v>250</v>
      </c>
      <c r="C7" s="5" t="inlineStr">
        <is>
          <t>days</t>
        </is>
      </c>
      <c r="D7" s="7" t="inlineStr"/>
    </row>
    <row r="8">
      <c r="A8" s="5" t="inlineStr">
        <is>
          <t>Working days per sprint per dev</t>
        </is>
      </c>
      <c r="B8" s="6" t="n">
        <v>9</v>
      </c>
      <c r="C8" s="5" t="inlineStr">
        <is>
          <t>days</t>
        </is>
      </c>
      <c r="D8" s="7" t="inlineStr">
        <is>
          <t>9 typical for 2-week sprints</t>
        </is>
      </c>
    </row>
    <row r="9">
      <c r="A9" s="5" t="inlineStr">
        <is>
          <t>Sprints per year</t>
        </is>
      </c>
      <c r="B9" s="6" t="n">
        <v>26</v>
      </c>
      <c r="C9" s="5" t="inlineStr">
        <is>
          <t>sprints</t>
        </is>
      </c>
      <c r="D9" s="7" t="inlineStr"/>
    </row>
    <row r="10">
      <c r="A10" s="3" t="inlineStr">
        <is>
          <t>--- Bug Volume &amp; Distribution Today ---</t>
        </is>
      </c>
      <c r="B10" s="4" t="n"/>
      <c r="C10" s="4" t="n"/>
      <c r="D10" s="4" t="n"/>
    </row>
    <row r="11">
      <c r="A11" s="5" t="inlineStr">
        <is>
          <t>Bugs per year</t>
        </is>
      </c>
      <c r="B11" s="6" t="n">
        <v>400</v>
      </c>
      <c r="C11" s="5" t="inlineStr">
        <is>
          <t>bugs</t>
        </is>
      </c>
      <c r="D11" s="7" t="inlineStr">
        <is>
          <t>Annualised from last 180 days of Azure Boards</t>
        </is>
      </c>
    </row>
    <row r="12">
      <c r="A12" s="5" t="inlineStr">
        <is>
          <t>% bugs caught Local today</t>
        </is>
      </c>
      <c r="B12" s="9" t="n">
        <v>0.35</v>
      </c>
      <c r="C12" s="5" t="inlineStr">
        <is>
          <t>%</t>
        </is>
      </c>
      <c r="D12" s="7" t="inlineStr">
        <is>
          <t>From WIQL query, Found In = Local</t>
        </is>
      </c>
    </row>
    <row r="13">
      <c r="A13" s="5" t="inlineStr">
        <is>
          <t>% bugs caught Development today</t>
        </is>
      </c>
      <c r="B13" s="9" t="n">
        <v>0.45</v>
      </c>
      <c r="C13" s="5" t="inlineStr">
        <is>
          <t>%</t>
        </is>
      </c>
      <c r="D13" s="7" t="inlineStr">
        <is>
          <t>CI doesn't gate so CI-flagged bugs roll into Dev</t>
        </is>
      </c>
    </row>
    <row r="14">
      <c r="A14" s="5" t="inlineStr">
        <is>
          <t>% bugs caught Staging today</t>
        </is>
      </c>
      <c r="B14" s="9" t="n">
        <v>0.15</v>
      </c>
      <c r="C14" s="5" t="inlineStr">
        <is>
          <t>%</t>
        </is>
      </c>
      <c r="D14" s="7" t="inlineStr"/>
    </row>
    <row r="15">
      <c r="A15" s="5" t="inlineStr">
        <is>
          <t>% bugs caught Production today</t>
        </is>
      </c>
      <c r="B15" s="9" t="n">
        <v>0.05</v>
      </c>
      <c r="C15" s="5" t="inlineStr">
        <is>
          <t>%</t>
        </is>
      </c>
      <c r="D15" s="7" t="inlineStr"/>
    </row>
    <row r="16">
      <c r="A16" s="3" t="inlineStr">
        <is>
          <t>--- Target Distribution (Post-Investment) ---</t>
        </is>
      </c>
      <c r="B16" s="4" t="n"/>
      <c r="C16" s="4" t="n"/>
      <c r="D16" s="4" t="n"/>
    </row>
    <row r="17">
      <c r="A17" s="5" t="inlineStr">
        <is>
          <t>% bugs caught Local target</t>
        </is>
      </c>
      <c r="B17" s="9" t="n">
        <v>0.75</v>
      </c>
      <c r="C17" s="5" t="inlineStr">
        <is>
          <t>%</t>
        </is>
      </c>
      <c r="D17" s="7" t="inlineStr">
        <is>
          <t>Capers Jones median-elite range</t>
        </is>
      </c>
    </row>
    <row r="18">
      <c r="A18" s="5" t="inlineStr">
        <is>
          <t>% bugs caught Development target</t>
        </is>
      </c>
      <c r="B18" s="9" t="n">
        <v>0.18</v>
      </c>
      <c r="C18" s="5" t="inlineStr">
        <is>
          <t>%</t>
        </is>
      </c>
      <c r="D18" s="7" t="inlineStr"/>
    </row>
    <row r="19">
      <c r="A19" s="5" t="inlineStr">
        <is>
          <t>% bugs caught Staging target</t>
        </is>
      </c>
      <c r="B19" s="9" t="n">
        <v>0.05</v>
      </c>
      <c r="C19" s="5" t="inlineStr">
        <is>
          <t>%</t>
        </is>
      </c>
      <c r="D19" s="7" t="inlineStr"/>
    </row>
    <row r="20">
      <c r="A20" s="5" t="inlineStr">
        <is>
          <t>% bugs caught Production target</t>
        </is>
      </c>
      <c r="B20" s="9" t="n">
        <v>0.02</v>
      </c>
      <c r="C20" s="5" t="inlineStr">
        <is>
          <t>%</t>
        </is>
      </c>
      <c r="D20" s="7" t="inlineStr"/>
    </row>
    <row r="21">
      <c r="A21" s="3" t="inlineStr">
        <is>
          <t>--- IBM Cost-of-Defect Multipliers ---</t>
        </is>
      </c>
      <c r="B21" s="4" t="n"/>
      <c r="C21" s="4" t="n"/>
      <c r="D21" s="4" t="n"/>
    </row>
    <row r="22">
      <c r="A22" s="5" t="inlineStr">
        <is>
          <t>Multiplier (Local)</t>
        </is>
      </c>
      <c r="B22" s="10" t="n">
        <v>1</v>
      </c>
      <c r="C22" s="5" t="inlineStr">
        <is>
          <t>x</t>
        </is>
      </c>
      <c r="D22" s="7" t="inlineStr">
        <is>
          <t>Baseline</t>
        </is>
      </c>
    </row>
    <row r="23">
      <c r="A23" s="5" t="inlineStr">
        <is>
          <t>Multiplier (Development)</t>
        </is>
      </c>
      <c r="B23" s="10" t="n">
        <v>15</v>
      </c>
      <c r="C23" s="5" t="inlineStr">
        <is>
          <t>x</t>
        </is>
      </c>
      <c r="D23" s="7" t="inlineStr">
        <is>
          <t>IBM Integration 15x; toggle below replaces with bottom-up value</t>
        </is>
      </c>
    </row>
    <row r="24">
      <c r="A24" s="5" t="inlineStr">
        <is>
          <t>Multiplier (Staging)</t>
        </is>
      </c>
      <c r="B24" s="10" t="n">
        <v>40</v>
      </c>
      <c r="C24" s="5" t="inlineStr">
        <is>
          <t>x</t>
        </is>
      </c>
      <c r="D24" s="7" t="inlineStr">
        <is>
          <t>IBM SSI</t>
        </is>
      </c>
    </row>
    <row r="25">
      <c r="A25" s="5" t="inlineStr">
        <is>
          <t>Multiplier (Production)</t>
        </is>
      </c>
      <c r="B25" s="10" t="n">
        <v>100</v>
      </c>
      <c r="C25" s="5" t="inlineStr">
        <is>
          <t>x</t>
        </is>
      </c>
      <c r="D25" s="7" t="inlineStr">
        <is>
          <t>IBM SSI / NIST RTI 2002</t>
        </is>
      </c>
    </row>
    <row r="26">
      <c r="A26" s="5" t="inlineStr">
        <is>
          <t>Local fix hours (baseline)</t>
        </is>
      </c>
      <c r="B26" s="10" t="n">
        <v>0.92</v>
      </c>
      <c r="C26" s="5" t="inlineStr">
        <is>
          <t>hrs</t>
        </is>
      </c>
      <c r="D26" s="7" t="inlineStr">
        <is>
          <t>Time to fix a bug found locally</t>
        </is>
      </c>
    </row>
    <row r="27">
      <c r="A27" s="3" t="inlineStr">
        <is>
          <t>--- Development-Fix Workflow ---</t>
        </is>
      </c>
      <c r="B27" s="4" t="n"/>
      <c r="C27" s="4" t="n"/>
      <c r="D27" s="4" t="n"/>
    </row>
    <row r="28">
      <c r="A28" s="5" t="inlineStr">
        <is>
          <t>Triage / work item creation</t>
        </is>
      </c>
      <c r="B28" s="6" t="n">
        <v>10</v>
      </c>
      <c r="C28" s="5" t="inlineStr">
        <is>
          <t>min</t>
        </is>
      </c>
      <c r="D28" s="7" t="inlineStr"/>
    </row>
    <row r="29">
      <c r="A29" s="5" t="inlineStr">
        <is>
          <t>Branch creation + repro attempt</t>
        </is>
      </c>
      <c r="B29" s="6" t="n">
        <v>20</v>
      </c>
      <c r="C29" s="5" t="inlineStr">
        <is>
          <t>min</t>
        </is>
      </c>
      <c r="D29" s="7" t="inlineStr"/>
    </row>
    <row r="30">
      <c r="A30" s="5" t="inlineStr">
        <is>
          <t>Code fix</t>
        </is>
      </c>
      <c r="B30" s="6" t="n">
        <v>45</v>
      </c>
      <c r="C30" s="5" t="inlineStr">
        <is>
          <t>min</t>
        </is>
      </c>
      <c r="D30" s="7" t="inlineStr"/>
    </row>
    <row r="31">
      <c r="A31" s="5" t="inlineStr">
        <is>
          <t>AI code-check prompt run</t>
        </is>
      </c>
      <c r="B31" s="6" t="n">
        <v>7</v>
      </c>
      <c r="C31" s="5" t="inlineStr">
        <is>
          <t>min</t>
        </is>
      </c>
      <c r="D31" s="7" t="inlineStr"/>
    </row>
    <row r="32">
      <c r="A32" s="5" t="inlineStr">
        <is>
          <t>AI tool cost per run</t>
        </is>
      </c>
      <c r="B32" s="8" t="n">
        <v>0.3</v>
      </c>
      <c r="C32" s="5" t="inlineStr">
        <is>
          <t>$</t>
        </is>
      </c>
      <c r="D32" s="7" t="inlineStr">
        <is>
          <t>Token cost</t>
        </is>
      </c>
    </row>
    <row r="33">
      <c r="A33" s="5" t="inlineStr">
        <is>
          <t>Push wait (build + tests)</t>
        </is>
      </c>
      <c r="B33" s="6" t="n">
        <v>25</v>
      </c>
      <c r="C33" s="5" t="inlineStr">
        <is>
          <t>min</t>
        </is>
      </c>
      <c r="D33" s="7" t="inlineStr"/>
    </row>
    <row r="34">
      <c r="A34" s="5" t="inlineStr">
        <is>
          <t>Push wait idle recovery factor</t>
        </is>
      </c>
      <c r="B34" s="9" t="n">
        <v>0.5</v>
      </c>
      <c r="C34" s="5" t="inlineStr">
        <is>
          <t>frac</t>
        </is>
      </c>
      <c r="D34" s="7" t="inlineStr">
        <is>
          <t>0=fully idle, 1=fully recovered</t>
        </is>
      </c>
    </row>
    <row r="35">
      <c r="A35" s="5" t="inlineStr">
        <is>
          <t>PR create + write description</t>
        </is>
      </c>
      <c r="B35" s="6" t="n">
        <v>10</v>
      </c>
      <c r="C35" s="5" t="inlineStr">
        <is>
          <t>min</t>
        </is>
      </c>
      <c r="D35" s="7" t="inlineStr"/>
    </row>
    <row r="36">
      <c r="A36" s="5" t="inlineStr">
        <is>
          <t>Reviewer wait (wall-clock hours)</t>
        </is>
      </c>
      <c r="B36" s="10" t="n">
        <v>4</v>
      </c>
      <c r="C36" s="5" t="inlineStr">
        <is>
          <t>hrs</t>
        </is>
      </c>
      <c r="D36" s="7" t="inlineStr">
        <is>
          <t>DORA review wait time</t>
        </is>
      </c>
    </row>
    <row r="37">
      <c r="A37" s="5" t="inlineStr">
        <is>
          <t>Reviewer wait idle recovery factor</t>
        </is>
      </c>
      <c r="B37" s="9" t="n">
        <v>0.5</v>
      </c>
      <c r="C37" s="5" t="inlineStr">
        <is>
          <t>frac</t>
        </is>
      </c>
      <c r="D37" s="7" t="inlineStr"/>
    </row>
    <row r="38">
      <c r="A38" s="5" t="inlineStr">
        <is>
          <t>Reviewer review time per pass</t>
        </is>
      </c>
      <c r="B38" s="6" t="n">
        <v>30</v>
      </c>
      <c r="C38" s="5" t="inlineStr">
        <is>
          <t>min</t>
        </is>
      </c>
      <c r="D38" s="7" t="inlineStr">
        <is>
          <t>Reviewer side</t>
        </is>
      </c>
    </row>
    <row r="39">
      <c r="A39" s="5" t="inlineStr">
        <is>
          <t>Average review rounds</t>
        </is>
      </c>
      <c r="B39" s="10" t="n">
        <v>1.5</v>
      </c>
      <c r="C39" s="5" t="inlineStr">
        <is>
          <t>rounds</t>
        </is>
      </c>
      <c r="D39" s="7" t="inlineStr">
        <is>
          <t>Total iterations per PR</t>
        </is>
      </c>
    </row>
    <row r="40">
      <c r="A40" s="5" t="inlineStr">
        <is>
          <t>Review round dev-side time</t>
        </is>
      </c>
      <c r="B40" s="6" t="n">
        <v>30</v>
      </c>
      <c r="C40" s="5" t="inlineStr">
        <is>
          <t>min/round</t>
        </is>
      </c>
      <c r="D40" s="7" t="inlineStr"/>
    </row>
    <row r="41">
      <c r="A41" s="5" t="inlineStr">
        <is>
          <t>Review round reviewer-side time</t>
        </is>
      </c>
      <c r="B41" s="6" t="n">
        <v>20</v>
      </c>
      <c r="C41" s="5" t="inlineStr">
        <is>
          <t>min/round</t>
        </is>
      </c>
      <c r="D41" s="7" t="inlineStr"/>
    </row>
    <row r="42">
      <c r="A42" s="5" t="inlineStr">
        <is>
          <t>Approve + merge</t>
        </is>
      </c>
      <c r="B42" s="6" t="n">
        <v>5</v>
      </c>
      <c r="C42" s="5" t="inlineStr">
        <is>
          <t>min</t>
        </is>
      </c>
      <c r="D42" s="7" t="inlineStr"/>
    </row>
    <row r="43">
      <c r="A43" s="5" t="inlineStr">
        <is>
          <t>Redeploy to integration</t>
        </is>
      </c>
      <c r="B43" s="6" t="n">
        <v>20</v>
      </c>
      <c r="C43" s="5" t="inlineStr">
        <is>
          <t>min</t>
        </is>
      </c>
      <c r="D43" s="7" t="inlineStr">
        <is>
          <t>Mostly idle wait</t>
        </is>
      </c>
    </row>
    <row r="44">
      <c r="A44" s="5" t="inlineStr">
        <is>
          <t>Redeploy idle recovery factor</t>
        </is>
      </c>
      <c r="B44" s="9" t="n">
        <v>0.5</v>
      </c>
      <c r="C44" s="5" t="inlineStr">
        <is>
          <t>frac</t>
        </is>
      </c>
      <c r="D44" s="7" t="inlineStr"/>
    </row>
    <row r="45">
      <c r="A45" s="5" t="inlineStr">
        <is>
          <t>Re-run regression + re-verify</t>
        </is>
      </c>
      <c r="B45" s="6" t="n">
        <v>30</v>
      </c>
      <c r="C45" s="5" t="inlineStr">
        <is>
          <t>min</t>
        </is>
      </c>
      <c r="D45" s="7" t="inlineStr"/>
    </row>
    <row r="46">
      <c r="A46" s="5" t="inlineStr">
        <is>
          <t>Retry rate (1 + this multiplies total)</t>
        </is>
      </c>
      <c r="B46" s="9" t="n">
        <v>0.3</v>
      </c>
      <c r="C46" s="5" t="inlineStr">
        <is>
          <t>frac</t>
        </is>
      </c>
      <c r="D46" s="7" t="inlineStr">
        <is>
          <t>30% typical bug-fix PR retry rate</t>
        </is>
      </c>
    </row>
    <row r="47">
      <c r="A47" s="3" t="inlineStr">
        <is>
          <t>--- Cycle Time &amp; Sprint ---</t>
        </is>
      </c>
      <c r="B47" s="4" t="n"/>
      <c r="C47" s="4" t="n"/>
      <c r="D47" s="4" t="n"/>
    </row>
    <row r="48">
      <c r="A48" s="5" t="inlineStr">
        <is>
          <t>Inner-loop iterations per dev per day</t>
        </is>
      </c>
      <c r="B48" s="6" t="n">
        <v>12</v>
      </c>
      <c r="C48" s="5" t="inlineStr">
        <is>
          <t>iters</t>
        </is>
      </c>
      <c r="D48" s="7" t="inlineStr">
        <is>
          <t>Microsoft inner-loop research: 8-15</t>
        </is>
      </c>
    </row>
    <row r="49">
      <c r="A49" s="5" t="inlineStr">
        <is>
          <t>Cycle time today (min/iteration)</t>
        </is>
      </c>
      <c r="B49" s="10" t="n">
        <v>25</v>
      </c>
      <c r="C49" s="5" t="inlineStr">
        <is>
          <t>min</t>
        </is>
      </c>
      <c r="D49" s="7" t="inlineStr">
        <is>
          <t>Median; replace from time-tracking week</t>
        </is>
      </c>
    </row>
    <row r="50">
      <c r="A50" s="5" t="inlineStr">
        <is>
          <t>Cycle time target (min/iteration)</t>
        </is>
      </c>
      <c r="B50" s="10" t="n">
        <v>2</v>
      </c>
      <c r="C50" s="5" t="inlineStr">
        <is>
          <t>min</t>
        </is>
      </c>
      <c r="D50" s="7" t="inlineStr">
        <is>
          <t>Healthy local loop</t>
        </is>
      </c>
    </row>
    <row r="51">
      <c r="A51" s="5" t="inlineStr">
        <is>
          <t>Cycle time idle recovery factor</t>
        </is>
      </c>
      <c r="B51" s="9" t="n">
        <v>0.5</v>
      </c>
      <c r="C51" s="5" t="inlineStr">
        <is>
          <t>frac</t>
        </is>
      </c>
      <c r="D51" s="7" t="inlineStr"/>
    </row>
    <row r="52">
      <c r="A52" s="5" t="inlineStr">
        <is>
          <t>Context-switch multiplier</t>
        </is>
      </c>
      <c r="B52" s="10" t="n">
        <v>1.2</v>
      </c>
      <c r="C52" s="5" t="inlineStr">
        <is>
          <t>x</t>
        </is>
      </c>
      <c r="D52" s="7" t="inlineStr">
        <is>
          <t>DeMarco/Weinberg 1.2-1.4</t>
        </is>
      </c>
    </row>
    <row r="53">
      <c r="A53" s="3" t="inlineStr">
        <is>
          <t>--- Pipeline (ADO) ---</t>
        </is>
      </c>
      <c r="B53" s="4" t="n"/>
      <c r="C53" s="4" t="n"/>
      <c r="D53" s="4" t="n"/>
    </row>
    <row r="54">
      <c r="A54" s="5" t="inlineStr">
        <is>
          <t>Builds per dev per day</t>
        </is>
      </c>
      <c r="B54" s="6" t="n">
        <v>6</v>
      </c>
      <c r="C54" s="5" t="inlineStr">
        <is>
          <t>builds</t>
        </is>
      </c>
      <c r="D54" s="7" t="inlineStr"/>
    </row>
    <row r="55">
      <c r="A55" s="5" t="inlineStr">
        <is>
          <t>Pipeline duration (min/run) — placeholder</t>
        </is>
      </c>
      <c r="B55" s="10" t="n">
        <v>25</v>
      </c>
      <c r="C55" s="5" t="inlineStr">
        <is>
          <t>min</t>
        </is>
      </c>
      <c r="D55" s="7" t="inlineStr">
        <is>
          <t>Overridden by real_median_build_min when use_real_data=1</t>
        </is>
      </c>
    </row>
    <row r="56">
      <c r="A56" s="5" t="inlineStr">
        <is>
          <t>Queue wait (min/run)</t>
        </is>
      </c>
      <c r="B56" s="10" t="n">
        <v>5</v>
      </c>
      <c r="C56" s="5" t="inlineStr">
        <is>
          <t>min</t>
        </is>
      </c>
      <c r="D56" s="7" t="inlineStr">
        <is>
          <t>Pre-start</t>
        </is>
      </c>
    </row>
    <row r="57">
      <c r="A57" s="5" t="inlineStr">
        <is>
          <t>Pipeline compute cost per min</t>
        </is>
      </c>
      <c r="B57" s="8" t="n">
        <v>0.015</v>
      </c>
      <c r="C57" s="5" t="inlineStr">
        <is>
          <t>$/min</t>
        </is>
      </c>
      <c r="D57" s="7" t="inlineStr">
        <is>
          <t>MS-hosted derivation</t>
        </is>
      </c>
    </row>
    <row r="58">
      <c r="A58" s="5" t="inlineStr">
        <is>
          <t>Extra parallel jobs (legacy single bucket)</t>
        </is>
      </c>
      <c r="B58" s="6" t="n">
        <v>5</v>
      </c>
      <c r="C58" s="5" t="inlineStr">
        <is>
          <t>jobs</t>
        </is>
      </c>
      <c r="D58" s="7" t="inlineStr">
        <is>
          <t>Used only if use_real_data=0</t>
        </is>
      </c>
    </row>
    <row r="59">
      <c r="A59" s="5" t="inlineStr">
        <is>
          <t>Parallel job monthly cost (legacy avg)</t>
        </is>
      </c>
      <c r="B59" s="8" t="n">
        <v>40</v>
      </c>
      <c r="C59" s="5" t="inlineStr">
        <is>
          <t>$/mo</t>
        </is>
      </c>
      <c r="D59" s="7" t="inlineStr">
        <is>
          <t>Used only if use_real_data=0</t>
        </is>
      </c>
    </row>
    <row r="60">
      <c r="A60" s="5" t="inlineStr">
        <is>
          <t>MS-hosted parallel jobs</t>
        </is>
      </c>
      <c r="B60" s="6" t="n">
        <v>5</v>
      </c>
      <c r="C60" s="5" t="inlineStr">
        <is>
          <t>jobs</t>
        </is>
      </c>
      <c r="D60" s="7" t="inlineStr">
        <is>
          <t>Real count from team — 5</t>
        </is>
      </c>
    </row>
    <row r="61">
      <c r="A61" s="5" t="inlineStr">
        <is>
          <t>Self-hosted parallel jobs</t>
        </is>
      </c>
      <c r="B61" s="6" t="n">
        <v>50</v>
      </c>
      <c r="C61" s="5" t="inlineStr">
        <is>
          <t>jobs</t>
        </is>
      </c>
      <c r="D61" s="7" t="inlineStr">
        <is>
          <t>Real count from team — ~50</t>
        </is>
      </c>
    </row>
    <row r="62">
      <c r="A62" s="5" t="inlineStr">
        <is>
          <t>MS-hosted monthly cost</t>
        </is>
      </c>
      <c r="B62" s="8" t="n">
        <v>40</v>
      </c>
      <c r="C62" s="5" t="inlineStr">
        <is>
          <t>$/mo</t>
        </is>
      </c>
      <c r="D62" s="7" t="inlineStr">
        <is>
          <t>$40/mo per MS-hosted private job</t>
        </is>
      </c>
    </row>
    <row r="63">
      <c r="A63" s="5" t="inlineStr">
        <is>
          <t>Self-hosted monthly cost</t>
        </is>
      </c>
      <c r="B63" s="8" t="n">
        <v>15</v>
      </c>
      <c r="C63" s="5" t="inlineStr">
        <is>
          <t>$/mo</t>
        </is>
      </c>
      <c r="D63" s="7" t="inlineStr">
        <is>
          <t>~$15/mo amortised hardware + power</t>
        </is>
      </c>
    </row>
    <row r="64">
      <c r="A64" s="5" t="inlineStr">
        <is>
          <t>Pipeline failure rate</t>
        </is>
      </c>
      <c r="B64" s="9" t="n">
        <v>0.3</v>
      </c>
      <c r="C64" s="5" t="inlineStr">
        <is>
          <t>frac</t>
        </is>
      </c>
      <c r="D64" s="7" t="inlineStr">
        <is>
          <t>DORA change-failure rate</t>
        </is>
      </c>
    </row>
    <row r="65">
      <c r="A65" s="5" t="inlineStr">
        <is>
          <t>% of failures caused by missing local env</t>
        </is>
      </c>
      <c r="B65" s="9" t="n">
        <v>0.5</v>
      </c>
      <c r="C65" s="5" t="inlineStr">
        <is>
          <t>frac</t>
        </is>
      </c>
      <c r="D65" s="7" t="inlineStr">
        <is>
          <t>Recoverable share</t>
        </is>
      </c>
    </row>
    <row r="66">
      <c r="A66" s="5" t="inlineStr">
        <is>
          <t>Pipeline idle recovery factor</t>
        </is>
      </c>
      <c r="B66" s="9" t="n">
        <v>0.5</v>
      </c>
      <c r="C66" s="5" t="inlineStr">
        <is>
          <t>frac</t>
        </is>
      </c>
      <c r="D66" s="7" t="inlineStr"/>
    </row>
    <row r="67">
      <c r="A67" s="3" t="inlineStr">
        <is>
          <t>--- Workarounds ---</t>
        </is>
      </c>
      <c r="B67" s="4" t="n"/>
      <c r="C67" s="4" t="n"/>
      <c r="D67" s="4" t="n"/>
    </row>
    <row r="68">
      <c r="A68" s="5" t="inlineStr">
        <is>
          <t>Total team workaround hours per week</t>
        </is>
      </c>
      <c r="B68" s="10" t="n">
        <v>12</v>
      </c>
      <c r="C68" s="5" t="inlineStr">
        <is>
          <t>hrs/wk</t>
        </is>
      </c>
      <c r="D68" s="7" t="inlineStr">
        <is>
          <t>From self-assessment in developer-workarounds.md</t>
        </is>
      </c>
    </row>
    <row r="69">
      <c r="A69" s="5" t="inlineStr">
        <is>
          <t>Working weeks per year</t>
        </is>
      </c>
      <c r="B69" s="6" t="n">
        <v>50</v>
      </c>
      <c r="C69" s="5" t="inlineStr">
        <is>
          <t>weeks</t>
        </is>
      </c>
      <c r="D69" s="7" t="inlineStr"/>
    </row>
    <row r="70">
      <c r="A70" s="3" t="inlineStr">
        <is>
          <t>--- Shift-Left Allocation ---</t>
        </is>
      </c>
      <c r="B70" s="4" t="n"/>
      <c r="C70" s="4" t="n"/>
      <c r="D70" s="4" t="n"/>
    </row>
    <row r="71">
      <c r="A71" s="5" t="inlineStr">
        <is>
          <t>% bugs env/integration-related</t>
        </is>
      </c>
      <c r="B71" s="9" t="n">
        <v>0.35</v>
      </c>
      <c r="C71" s="5" t="inlineStr">
        <is>
          <t>frac</t>
        </is>
      </c>
      <c r="D71" s="7" t="inlineStr">
        <is>
          <t>DORA range 25-45%</t>
        </is>
      </c>
    </row>
    <row r="72">
      <c r="A72" s="5" t="inlineStr">
        <is>
          <t>% preventable with proper local env</t>
        </is>
      </c>
      <c r="B72" s="9" t="n">
        <v>0.7</v>
      </c>
      <c r="C72" s="5" t="inlineStr">
        <is>
          <t>frac</t>
        </is>
      </c>
      <c r="D72" s="7" t="inlineStr">
        <is>
          <t>Conservative 70% default</t>
        </is>
      </c>
    </row>
    <row r="73">
      <c r="A73" s="3" t="inlineStr">
        <is>
          <t>--- Investment ---</t>
        </is>
      </c>
      <c r="B73" s="4" t="n"/>
      <c r="C73" s="4" t="n"/>
      <c r="D73" s="4" t="n"/>
    </row>
    <row r="74">
      <c r="A74" s="5" t="inlineStr">
        <is>
          <t>Setup engineer hours (one-time)</t>
        </is>
      </c>
      <c r="B74" s="6" t="n">
        <v>60</v>
      </c>
      <c r="C74" s="5" t="inlineStr">
        <is>
          <t>hrs</t>
        </is>
      </c>
      <c r="D74" s="7" t="inlineStr">
        <is>
          <t>Build docker-compose, validate emulators</t>
        </is>
      </c>
    </row>
    <row r="75">
      <c r="A75" s="5" t="inlineStr">
        <is>
          <t>Onboarding/doc hours (one-time)</t>
        </is>
      </c>
      <c r="B75" s="6" t="n">
        <v>20</v>
      </c>
      <c r="C75" s="5" t="inlineStr">
        <is>
          <t>hrs</t>
        </is>
      </c>
      <c r="D75" s="7" t="inlineStr"/>
    </row>
    <row r="76">
      <c r="A76" s="5" t="inlineStr">
        <is>
          <t>Training hours per dev</t>
        </is>
      </c>
      <c r="B76" s="6" t="n">
        <v>4</v>
      </c>
      <c r="C76" s="5" t="inlineStr">
        <is>
          <t>hrs/dev</t>
        </is>
      </c>
      <c r="D76" s="7" t="inlineStr"/>
    </row>
    <row r="77">
      <c r="A77" s="5" t="inlineStr">
        <is>
          <t>Machine upgrade cost (one-time, total)</t>
        </is>
      </c>
      <c r="B77" s="8" t="n">
        <v>6000</v>
      </c>
      <c r="C77" s="5" t="inlineStr">
        <is>
          <t>$</t>
        </is>
      </c>
      <c r="D77" s="7" t="inlineStr">
        <is>
          <t>RAM/SSD if needed</t>
        </is>
      </c>
    </row>
    <row r="78">
      <c r="A78" s="5" t="inlineStr">
        <is>
          <t>Docker license $ per user per month</t>
        </is>
      </c>
      <c r="B78" s="8" t="n">
        <v>21</v>
      </c>
      <c r="C78" s="5" t="inlineStr">
        <is>
          <t>$/user/mo</t>
        </is>
      </c>
      <c r="D78" s="7" t="inlineStr">
        <is>
          <t>$21 Business; $0 if &lt;250-employee org</t>
        </is>
      </c>
    </row>
    <row r="79">
      <c r="A79" s="5" t="inlineStr">
        <is>
          <t>Apply Docker license cost? (1=yes, 0=no)</t>
        </is>
      </c>
      <c r="B79" s="6" t="n">
        <v>1</v>
      </c>
      <c r="C79" s="5" t="inlineStr">
        <is>
          <t>0/1</t>
        </is>
      </c>
      <c r="D79" s="7" t="inlineStr">
        <is>
          <t>0 for small org or free alternatives</t>
        </is>
      </c>
    </row>
    <row r="80">
      <c r="A80" s="5" t="inlineStr">
        <is>
          <t>Annual maintenance hours</t>
        </is>
      </c>
      <c r="B80" s="6" t="n">
        <v>100</v>
      </c>
      <c r="C80" s="5" t="inlineStr">
        <is>
          <t>hrs/yr</t>
        </is>
      </c>
      <c r="D80" s="7" t="inlineStr">
        <is>
          <t>~5% of one engineer</t>
        </is>
      </c>
    </row>
    <row r="81">
      <c r="A81" s="3" t="inlineStr">
        <is>
          <t>--- Real-Data Calibration (Jan-May 2026) ---</t>
        </is>
      </c>
      <c r="B81" s="4" t="n"/>
      <c r="C81" s="4" t="n"/>
      <c r="D81" s="4" t="n"/>
    </row>
    <row r="82">
      <c r="A82" s="5" t="inlineStr">
        <is>
          <t>Data period (months)</t>
        </is>
      </c>
      <c r="B82" s="10" t="n">
        <v>4.25</v>
      </c>
      <c r="C82" s="5" t="inlineStr">
        <is>
          <t>months</t>
        </is>
      </c>
      <c r="D82" s="7" t="inlineStr">
        <is>
          <t>Jan 1 - May 8 2026 = ~4.25 mo</t>
        </is>
      </c>
    </row>
    <row r="83">
      <c r="A83" s="5" t="inlineStr">
        <is>
          <t>Total work items in period (est.)</t>
        </is>
      </c>
      <c r="B83" s="6" t="n">
        <v>200</v>
      </c>
      <c r="C83" s="5" t="inlineStr">
        <is>
          <t>items</t>
        </is>
      </c>
      <c r="D83" s="7" t="inlineStr">
        <is>
          <t>Pull from ADO Boards for this period</t>
        </is>
      </c>
    </row>
    <row r="84">
      <c r="A84" s="5" t="inlineStr">
        <is>
          <t>% of rework caught pre-QA-handoff</t>
        </is>
      </c>
      <c r="B84" s="9" t="n">
        <v>0.6</v>
      </c>
      <c r="C84" s="5" t="inlineStr">
        <is>
          <t>frac</t>
        </is>
      </c>
      <c r="D84" s="7" t="inlineStr">
        <is>
          <t>Remainder caught by QA; both redo most of the 46-step process</t>
        </is>
      </c>
    </row>
    <row r="85">
      <c r="A85" s="5" t="inlineStr">
        <is>
          <t>Redo factor — dev-caught (steps 1-35 of 46)</t>
        </is>
      </c>
      <c r="B85" s="9" t="n">
        <v>0.7608695652173914</v>
      </c>
      <c r="C85" s="5" t="inlineStr">
        <is>
          <t>frac</t>
        </is>
      </c>
      <c r="D85" s="7" t="inlineStr">
        <is>
          <t>Pre-QA bugs repeat ~76% of the process</t>
        </is>
      </c>
    </row>
    <row r="86">
      <c r="A86" s="5" t="inlineStr">
        <is>
          <t>Redo factor — QA-caught (steps 1-40 of 46)</t>
        </is>
      </c>
      <c r="B86" s="9" t="n">
        <v>0.8695652173913043</v>
      </c>
      <c r="C86" s="5" t="inlineStr">
        <is>
          <t>frac</t>
        </is>
      </c>
      <c r="D86" s="7" t="inlineStr">
        <is>
          <t>Post-QA bugs repeat ~87% of the process</t>
        </is>
      </c>
    </row>
    <row r="87">
      <c r="A87" s="3" t="inlineStr">
        <is>
          <t>--- NuGet vs ProjectReference Inner Loop ---</t>
        </is>
      </c>
      <c r="B87" s="4" t="n"/>
      <c r="C87" s="4" t="n"/>
      <c r="D87" s="4" t="n"/>
    </row>
    <row r="88">
      <c r="A88" s="5" t="inlineStr">
        <is>
          <t>NuGet local rebuild duration (min)</t>
        </is>
      </c>
      <c r="B88" s="10" t="n">
        <v>6</v>
      </c>
      <c r="C88" s="5" t="inlineStr">
        <is>
          <t>min</t>
        </is>
      </c>
      <c r="D88" s="7" t="inlineStr">
        <is>
          <t>Real team data — 'Build local NuGet packages' = 6 min</t>
        </is>
      </c>
    </row>
    <row r="89">
      <c r="A89" s="5" t="inlineStr">
        <is>
          <t>NuGet rebuilds per dev per day</t>
        </is>
      </c>
      <c r="B89" s="10" t="n">
        <v>3</v>
      </c>
      <c r="C89" s="5" t="inlineStr">
        <is>
          <t>rebuilds</t>
        </is>
      </c>
      <c r="D89" s="7" t="inlineStr">
        <is>
          <t>Triggered by pulls, branch switches, and library edits</t>
        </is>
      </c>
    </row>
    <row r="90">
      <c r="A90" s="5" t="inlineStr">
        <is>
          <t>NuGet rebuild idle factor</t>
        </is>
      </c>
      <c r="B90" s="9" t="n">
        <v>0.6</v>
      </c>
      <c r="C90" s="5" t="inlineStr">
        <is>
          <t>frac</t>
        </is>
      </c>
      <c r="D90" s="7" t="inlineStr">
        <is>
          <t>Share of wait time NOT recovered by context switch (0=fully recovered, 1=fully lost)</t>
        </is>
      </c>
    </row>
    <row r="91">
      <c r="A91" s="5" t="inlineStr">
        <is>
          <t>NuGet rebuilds per cross-pkg feature</t>
        </is>
      </c>
      <c r="B91" s="10" t="n">
        <v>12</v>
      </c>
      <c r="C91" s="5" t="inlineStr">
        <is>
          <t>rebuilds</t>
        </is>
      </c>
      <c r="D91" s="7" t="inlineStr">
        <is>
          <t>Extra iterations when actively iterating on a shared lib</t>
        </is>
      </c>
    </row>
    <row r="92">
      <c r="A92" s="5" t="inlineStr">
        <is>
          <t>Cross-pkg features per dev per year</t>
        </is>
      </c>
      <c r="B92" s="10" t="n">
        <v>18</v>
      </c>
      <c r="C92" s="5" t="inlineStr">
        <is>
          <t>features</t>
        </is>
      </c>
      <c r="D92" s="7" t="inlineStr">
        <is>
          <t>Features that touch a shared/referenced library</t>
        </is>
      </c>
    </row>
    <row r="93">
      <c r="A93" s="5" t="inlineStr">
        <is>
          <t>NuGet rebuilds per rework cycle</t>
        </is>
      </c>
      <c r="B93" s="10" t="n">
        <v>1</v>
      </c>
      <c r="C93" s="5" t="inlineStr">
        <is>
          <t>rebuilds</t>
        </is>
      </c>
      <c r="D93" s="7" t="inlineStr">
        <is>
          <t>Step 21 of the 46-step process</t>
        </is>
      </c>
    </row>
    <row r="94">
      <c r="A94" s="5" t="inlineStr">
        <is>
          <t>% NuGet friction eliminable with ProjectRef</t>
        </is>
      </c>
      <c r="B94" s="9" t="n">
        <v>0.7</v>
      </c>
      <c r="C94" s="5" t="inlineStr">
        <is>
          <t>frac</t>
        </is>
      </c>
      <c r="D94" s="7" t="inlineStr">
        <is>
          <t>Some scenarios still require packaging (release, external consumers)</t>
        </is>
      </c>
    </row>
    <row r="95">
      <c r="A95" s="5" t="inlineStr">
        <is>
          <t>Project-ref migration one-time hours</t>
        </is>
      </c>
      <c r="B95" s="10" t="n">
        <v>80</v>
      </c>
      <c r="C95" s="5" t="inlineStr">
        <is>
          <t>hrs</t>
        </is>
      </c>
      <c r="D95" s="7" t="inlineStr">
        <is>
          <t>Refactor budget per dev</t>
        </is>
      </c>
    </row>
    <row r="96">
      <c r="A96" s="5" t="inlineStr">
        <is>
          <t>Project-ref migration team size</t>
        </is>
      </c>
      <c r="B96" s="6" t="n">
        <v>2</v>
      </c>
      <c r="C96" s="5" t="inlineStr">
        <is>
          <t>devs</t>
        </is>
      </c>
      <c r="D96" s="7" t="inlineStr">
        <is>
          <t>Devs doing the refactor</t>
        </is>
      </c>
    </row>
    <row r="97">
      <c r="A97" s="5" t="inlineStr">
        <is>
          <t>NuGet packs we still publish per year</t>
        </is>
      </c>
      <c r="B97" s="10" t="n">
        <v>12</v>
      </c>
      <c r="C97" s="5" t="inlineStr">
        <is>
          <t>packs</t>
        </is>
      </c>
      <c r="D97" s="7" t="inlineStr">
        <is>
          <t>For external/release consumers — not eliminated by ProjectRef</t>
        </is>
      </c>
    </row>
    <row r="98">
      <c r="A98" s="3" t="inlineStr">
        <is>
          <t>--- Strategy Toggles ---</t>
        </is>
      </c>
      <c r="B98" s="4" t="n"/>
      <c r="C98" s="4" t="n"/>
      <c r="D98" s="4" t="n"/>
    </row>
    <row r="99">
      <c r="A99" s="5" t="inlineStr">
        <is>
          <t>Use bottom-up multiplier (1=yes, 0=no)</t>
        </is>
      </c>
      <c r="B99" s="6" t="n">
        <v>1</v>
      </c>
      <c r="C99" s="5" t="inlineStr">
        <is>
          <t>0/1</t>
        </is>
      </c>
      <c r="D99" s="7" t="inlineStr">
        <is>
          <t>1 = compute integration multiplier from workflow tab</t>
        </is>
      </c>
    </row>
    <row r="100">
      <c r="A100" s="5" t="inlineStr">
        <is>
          <t>Use real team data (1=yes, 0=no)</t>
        </is>
      </c>
      <c r="B100" s="6" t="n">
        <v>1</v>
      </c>
      <c r="C100" s="5" t="inlineStr">
        <is>
          <t>0/1</t>
        </is>
      </c>
      <c r="D100" s="7" t="inlineStr">
        <is>
          <t>1 = source pipeline duration, rework rate, PR cost from real tabs</t>
        </is>
      </c>
    </row>
    <row r="101">
      <c r="A101" s="5" t="inlineStr">
        <is>
          <t>Apply project-ref savings to ROI (1=yes, 0=no)</t>
        </is>
      </c>
      <c r="B101" s="6" t="n">
        <v>1</v>
      </c>
      <c r="C101" s="5" t="inlineStr">
        <is>
          <t>0/1</t>
        </is>
      </c>
      <c r="D101" s="7" t="inlineStr">
        <is>
          <t>0 = isolate this initiative from the headline ROI</t>
        </is>
      </c>
    </row>
    <row r="102">
      <c r="A102" s="5" t="inlineStr">
        <is>
          <t>Discount rate for NPV</t>
        </is>
      </c>
      <c r="B102" s="9" t="n">
        <v>0.1</v>
      </c>
      <c r="C102" s="5" t="inlineStr">
        <is>
          <t>frac</t>
        </is>
      </c>
      <c r="D102" s="7" t="inlineStr">
        <is>
          <t>10% default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6" customWidth="1" min="4" max="4"/>
  </cols>
  <sheetData>
    <row r="1">
      <c r="A1" s="1" t="inlineStr">
        <is>
          <t>Real Rework Data (anonymised) — Jan 1 to May 8, 2026</t>
        </is>
      </c>
    </row>
    <row r="2">
      <c r="A2" s="11" t="inlineStr">
        <is>
          <t>Source: team-bug-data-raw.xlsx (kept outside the repo). Developer names masked Dev1..Dev8.</t>
        </is>
      </c>
    </row>
    <row r="4">
      <c r="A4" s="2" t="inlineStr">
        <is>
          <t>Developer</t>
        </is>
      </c>
      <c r="B4" s="2" t="inlineStr">
        <is>
          <t>Work Item</t>
        </is>
      </c>
      <c r="C4" s="2" t="inlineStr">
        <is>
          <t>PR Count</t>
        </is>
      </c>
      <c r="D4" s="2" t="inlineStr">
        <is>
          <t>Notes</t>
        </is>
      </c>
    </row>
    <row r="5">
      <c r="A5" s="5" t="inlineStr">
        <is>
          <t>Dev1</t>
        </is>
      </c>
      <c r="B5" s="5" t="n">
        <v>42851</v>
      </c>
      <c r="C5" s="12" t="n">
        <v>7</v>
      </c>
      <c r="D5" s="5" t="inlineStr"/>
    </row>
    <row r="6">
      <c r="A6" s="5" t="inlineStr">
        <is>
          <t>Dev1</t>
        </is>
      </c>
      <c r="B6" s="5" t="n">
        <v>43844</v>
      </c>
      <c r="C6" s="12" t="n">
        <v>4</v>
      </c>
      <c r="D6" s="5" t="inlineStr"/>
    </row>
    <row r="7">
      <c r="A7" s="5" t="inlineStr">
        <is>
          <t>Dev1</t>
        </is>
      </c>
      <c r="B7" s="5" t="n">
        <v>44413</v>
      </c>
      <c r="C7" s="12" t="n">
        <v>2</v>
      </c>
      <c r="D7" s="5" t="inlineStr"/>
    </row>
    <row r="8">
      <c r="A8" s="5" t="inlineStr">
        <is>
          <t>Dev1</t>
        </is>
      </c>
      <c r="B8" s="5" t="n">
        <v>44858</v>
      </c>
      <c r="C8" s="12" t="n">
        <v>2</v>
      </c>
      <c r="D8" s="5" t="inlineStr"/>
    </row>
    <row r="9">
      <c r="A9" s="5" t="inlineStr">
        <is>
          <t>Dev1</t>
        </is>
      </c>
      <c r="B9" s="5" t="n">
        <v>44975</v>
      </c>
      <c r="C9" s="12" t="n">
        <v>2</v>
      </c>
      <c r="D9" s="5" t="inlineStr"/>
    </row>
    <row r="10">
      <c r="A10" s="5" t="inlineStr">
        <is>
          <t>Dev1</t>
        </is>
      </c>
      <c r="B10" s="5" t="n">
        <v>45977</v>
      </c>
      <c r="C10" s="12" t="n">
        <v>2</v>
      </c>
      <c r="D10" s="5" t="inlineStr"/>
    </row>
    <row r="11">
      <c r="A11" s="5" t="inlineStr">
        <is>
          <t>Dev1</t>
        </is>
      </c>
      <c r="B11" s="5" t="n">
        <v>44858</v>
      </c>
      <c r="C11" s="12" t="n">
        <v>2</v>
      </c>
      <c r="D11" s="5" t="inlineStr"/>
    </row>
    <row r="12">
      <c r="A12" s="5" t="inlineStr">
        <is>
          <t>Dev2</t>
        </is>
      </c>
      <c r="B12" s="5" t="n">
        <v>45225</v>
      </c>
      <c r="C12" s="12" t="n">
        <v>2</v>
      </c>
      <c r="D12" s="5" t="inlineStr"/>
    </row>
    <row r="13">
      <c r="A13" s="5" t="inlineStr">
        <is>
          <t>Dev2</t>
        </is>
      </c>
      <c r="B13" s="5" t="n">
        <v>43666</v>
      </c>
      <c r="C13" s="12" t="n">
        <v>6</v>
      </c>
      <c r="D13" s="5" t="inlineStr"/>
    </row>
    <row r="14">
      <c r="A14" s="5" t="inlineStr">
        <is>
          <t>Dev2</t>
        </is>
      </c>
      <c r="B14" s="5" t="n">
        <v>40653</v>
      </c>
      <c r="C14" s="12" t="n">
        <v>4</v>
      </c>
      <c r="D14" s="5" t="inlineStr"/>
    </row>
    <row r="15">
      <c r="A15" s="5" t="inlineStr">
        <is>
          <t>Dev2</t>
        </is>
      </c>
      <c r="B15" s="5" t="n">
        <v>45225</v>
      </c>
      <c r="C15" s="12" t="n">
        <v>2</v>
      </c>
      <c r="D15" s="5" t="inlineStr"/>
    </row>
    <row r="16">
      <c r="A16" s="5" t="inlineStr">
        <is>
          <t>Dev2</t>
        </is>
      </c>
      <c r="B16" s="5" t="n">
        <v>45751</v>
      </c>
      <c r="C16" s="12" t="n">
        <v>2</v>
      </c>
      <c r="D16" s="5" t="inlineStr"/>
    </row>
    <row r="17">
      <c r="A17" s="5" t="inlineStr">
        <is>
          <t>Dev3</t>
        </is>
      </c>
      <c r="B17" s="5" t="n">
        <v>45750</v>
      </c>
      <c r="C17" s="12" t="n">
        <v>2</v>
      </c>
      <c r="D17" s="5" t="inlineStr"/>
    </row>
    <row r="18">
      <c r="A18" s="5" t="inlineStr">
        <is>
          <t>Dev3</t>
        </is>
      </c>
      <c r="B18" s="5" t="n">
        <v>44848</v>
      </c>
      <c r="C18" s="12" t="n">
        <v>2</v>
      </c>
      <c r="D18" s="5" t="inlineStr"/>
    </row>
    <row r="19">
      <c r="A19" s="5" t="inlineStr">
        <is>
          <t>Dev4</t>
        </is>
      </c>
      <c r="B19" s="5" t="n">
        <v>43694</v>
      </c>
      <c r="C19" s="12" t="n">
        <v>6</v>
      </c>
      <c r="D19" s="5" t="inlineStr"/>
    </row>
    <row r="20">
      <c r="A20" s="5" t="inlineStr">
        <is>
          <t>Dev4</t>
        </is>
      </c>
      <c r="B20" s="5" t="n">
        <v>44032</v>
      </c>
      <c r="C20" s="12" t="n">
        <v>3</v>
      </c>
      <c r="D20" s="5" t="inlineStr"/>
    </row>
    <row r="21">
      <c r="A21" s="5" t="inlineStr">
        <is>
          <t>Dev4</t>
        </is>
      </c>
      <c r="B21" s="5" t="n">
        <v>44146</v>
      </c>
      <c r="C21" s="12" t="n">
        <v>3</v>
      </c>
      <c r="D21" s="5" t="inlineStr"/>
    </row>
    <row r="22">
      <c r="A22" s="5" t="inlineStr">
        <is>
          <t>Dev4</t>
        </is>
      </c>
      <c r="B22" s="5" t="n">
        <v>43403</v>
      </c>
      <c r="C22" s="12" t="n">
        <v>3</v>
      </c>
      <c r="D22" s="5" t="inlineStr"/>
    </row>
    <row r="23">
      <c r="A23" s="5" t="inlineStr">
        <is>
          <t>Dev4</t>
        </is>
      </c>
      <c r="B23" s="5" t="n">
        <v>40471</v>
      </c>
      <c r="C23" s="12" t="n">
        <v>3</v>
      </c>
      <c r="D23" s="5" t="inlineStr"/>
    </row>
    <row r="24">
      <c r="A24" s="5" t="inlineStr">
        <is>
          <t>Dev4</t>
        </is>
      </c>
      <c r="B24" s="5" t="n">
        <v>46247</v>
      </c>
      <c r="C24" s="12" t="n">
        <v>2</v>
      </c>
      <c r="D24" s="5" t="inlineStr"/>
    </row>
    <row r="25">
      <c r="A25" s="5" t="inlineStr">
        <is>
          <t>Dev5</t>
        </is>
      </c>
      <c r="B25" s="5" t="n">
        <v>42666</v>
      </c>
      <c r="C25" s="12" t="n">
        <v>6</v>
      </c>
      <c r="D25" s="5" t="inlineStr"/>
    </row>
    <row r="26">
      <c r="A26" s="5" t="inlineStr">
        <is>
          <t>Dev5</t>
        </is>
      </c>
      <c r="B26" s="5" t="n">
        <v>42665</v>
      </c>
      <c r="C26" s="12" t="n">
        <v>3</v>
      </c>
      <c r="D26" s="5" t="inlineStr"/>
    </row>
    <row r="27">
      <c r="A27" s="5" t="inlineStr">
        <is>
          <t>Dev5</t>
        </is>
      </c>
      <c r="B27" s="5" t="n">
        <v>45195</v>
      </c>
      <c r="C27" s="12" t="n">
        <v>3</v>
      </c>
      <c r="D27" s="5" t="inlineStr"/>
    </row>
    <row r="28">
      <c r="A28" s="5" t="inlineStr">
        <is>
          <t>Dev5</t>
        </is>
      </c>
      <c r="B28" s="5" t="n">
        <v>44045</v>
      </c>
      <c r="C28" s="12" t="n">
        <v>2</v>
      </c>
      <c r="D28" s="5" t="inlineStr"/>
    </row>
    <row r="29">
      <c r="A29" s="5" t="inlineStr">
        <is>
          <t>Dev7</t>
        </is>
      </c>
      <c r="B29" s="5" t="n">
        <v>43668</v>
      </c>
      <c r="C29" s="12" t="n">
        <v>2</v>
      </c>
      <c r="D29" s="5" t="inlineStr"/>
    </row>
    <row r="30">
      <c r="A30" s="5" t="inlineStr">
        <is>
          <t>Dev8</t>
        </is>
      </c>
      <c r="B30" s="5" t="n">
        <v>42665</v>
      </c>
      <c r="C30" s="12" t="n">
        <v>2</v>
      </c>
      <c r="D30" s="5" t="inlineStr"/>
    </row>
    <row r="32">
      <c r="A32" s="3" t="inlineStr">
        <is>
          <t>Summary Statistics (rework items only)</t>
        </is>
      </c>
      <c r="B32" s="4" t="n"/>
      <c r="C32" s="4" t="n"/>
      <c r="D32" s="4" t="n"/>
    </row>
    <row r="33">
      <c r="A33" s="5" t="inlineStr">
        <is>
          <t>Rework items observed</t>
        </is>
      </c>
      <c r="C33" s="13">
        <f>COUNTA(B5:B30)</f>
        <v/>
      </c>
    </row>
    <row r="34">
      <c r="A34" s="5" t="inlineStr">
        <is>
          <t>Total PRs across rework items</t>
        </is>
      </c>
      <c r="C34" s="13">
        <f>SUM(C5:C30)</f>
        <v/>
      </c>
    </row>
    <row r="35">
      <c r="A35" s="5" t="inlineStr">
        <is>
          <t>Mean PRs per rework item</t>
        </is>
      </c>
      <c r="C35" s="14">
        <f>C34/C33</f>
        <v/>
      </c>
    </row>
    <row r="36">
      <c r="A36" s="5" t="inlineStr">
        <is>
          <t>Median PRs per rework item</t>
        </is>
      </c>
      <c r="C36" s="14">
        <f>MEDIAN(C5:C30)</f>
        <v/>
      </c>
    </row>
    <row r="37">
      <c r="A37" s="5" t="inlineStr">
        <is>
          <t>Max PRs per rework item</t>
        </is>
      </c>
      <c r="C37" s="13">
        <f>MAX(C5:C30)</f>
        <v/>
      </c>
    </row>
    <row r="38">
      <c r="A38" s="5" t="inlineStr">
        <is>
          <t>Min PRs per rework item</t>
        </is>
      </c>
      <c r="C38" s="13">
        <f>MIN(C5:C30)</f>
        <v/>
      </c>
    </row>
    <row r="40">
      <c r="A40" s="3" t="inlineStr">
        <is>
          <t>Annualised Projection</t>
        </is>
      </c>
      <c r="B40" s="4" t="n"/>
      <c r="C40" s="4" t="n"/>
      <c r="D40" s="4" t="n"/>
    </row>
    <row r="41">
      <c r="A41" s="5" t="inlineStr">
        <is>
          <t>Annualised rework items per year</t>
        </is>
      </c>
      <c r="C41" s="13">
        <f>C33*12/data_period_months</f>
        <v/>
      </c>
    </row>
    <row r="42">
      <c r="A42" s="5" t="inlineStr">
        <is>
          <t>Annualised extra PR cycles (rework only)</t>
        </is>
      </c>
      <c r="C42" s="13">
        <f>C41*(C35-1)</f>
        <v/>
      </c>
    </row>
    <row r="43">
      <c r="A43" s="5" t="inlineStr">
        <is>
          <t>Rework rate (% of work items needing rework)</t>
        </is>
      </c>
      <c r="C43" s="15">
        <f>C33/total_work_items_in_period</f>
        <v/>
      </c>
    </row>
    <row r="45">
      <c r="A45" s="3" t="inlineStr">
        <is>
          <t>Blended Redo Factor</t>
        </is>
      </c>
      <c r="B45" s="4" t="n"/>
      <c r="C45" s="4" t="n"/>
      <c r="D45" s="4" t="n"/>
    </row>
    <row r="46">
      <c r="A46" s="5" t="inlineStr">
        <is>
          <t>Blended redo factor (pre-QA share × pre-QA + post-QA share × post-QA)</t>
        </is>
      </c>
      <c r="C46" s="16">
        <f>pct_rework_caught_pre_qa*redo_factor_pre_qa+(1-pct_rework_caught_pre_qa)*redo_factor_post_qa</f>
        <v/>
      </c>
    </row>
    <row r="48">
      <c r="A48" s="3" t="inlineStr">
        <is>
          <t>Per-Developer Breakdown</t>
        </is>
      </c>
      <c r="B48" s="4" t="n"/>
      <c r="C48" s="4" t="n"/>
      <c r="D48" s="4" t="n"/>
    </row>
    <row r="49">
      <c r="A49" s="2" t="inlineStr">
        <is>
          <t>Developer</t>
        </is>
      </c>
      <c r="B49" s="2" t="inlineStr">
        <is>
          <t>Rework items</t>
        </is>
      </c>
      <c r="C49" s="2" t="inlineStr">
        <is>
          <t>Sum PRs</t>
        </is>
      </c>
      <c r="D49" s="2" t="inlineStr">
        <is>
          <t>Avg PRs/item</t>
        </is>
      </c>
    </row>
    <row r="50">
      <c r="A50" s="5" t="inlineStr">
        <is>
          <t>Dev1</t>
        </is>
      </c>
      <c r="B50" s="12">
        <f>COUNTIF(A5:A30,"Dev1")</f>
        <v/>
      </c>
      <c r="C50" s="12">
        <f>SUMIF(A5:A30,"Dev1",C5:C30)</f>
        <v/>
      </c>
      <c r="D50" s="17">
        <f>IF(B50=0,0,C50/B50)</f>
        <v/>
      </c>
    </row>
    <row r="51">
      <c r="A51" s="5" t="inlineStr">
        <is>
          <t>Dev2</t>
        </is>
      </c>
      <c r="B51" s="12">
        <f>COUNTIF(A5:A30,"Dev2")</f>
        <v/>
      </c>
      <c r="C51" s="12">
        <f>SUMIF(A5:A30,"Dev2",C5:C30)</f>
        <v/>
      </c>
      <c r="D51" s="17">
        <f>IF(B51=0,0,C51/B51)</f>
        <v/>
      </c>
    </row>
    <row r="52">
      <c r="A52" s="5" t="inlineStr">
        <is>
          <t>Dev3</t>
        </is>
      </c>
      <c r="B52" s="12">
        <f>COUNTIF(A5:A30,"Dev3")</f>
        <v/>
      </c>
      <c r="C52" s="12">
        <f>SUMIF(A5:A30,"Dev3",C5:C30)</f>
        <v/>
      </c>
      <c r="D52" s="17">
        <f>IF(B52=0,0,C52/B52)</f>
        <v/>
      </c>
    </row>
    <row r="53">
      <c r="A53" s="5" t="inlineStr">
        <is>
          <t>Dev4</t>
        </is>
      </c>
      <c r="B53" s="12">
        <f>COUNTIF(A5:A30,"Dev4")</f>
        <v/>
      </c>
      <c r="C53" s="12">
        <f>SUMIF(A5:A30,"Dev4",C5:C30)</f>
        <v/>
      </c>
      <c r="D53" s="17">
        <f>IF(B53=0,0,C53/B53)</f>
        <v/>
      </c>
    </row>
    <row r="54">
      <c r="A54" s="5" t="inlineStr">
        <is>
          <t>Dev5</t>
        </is>
      </c>
      <c r="B54" s="12">
        <f>COUNTIF(A5:A30,"Dev5")</f>
        <v/>
      </c>
      <c r="C54" s="12">
        <f>SUMIF(A5:A30,"Dev5",C5:C30)</f>
        <v/>
      </c>
      <c r="D54" s="17">
        <f>IF(B54=0,0,C54/B54)</f>
        <v/>
      </c>
    </row>
    <row r="55">
      <c r="A55" s="5" t="inlineStr">
        <is>
          <t>Dev7</t>
        </is>
      </c>
      <c r="B55" s="12">
        <f>COUNTIF(A5:A30,"Dev7")</f>
        <v/>
      </c>
      <c r="C55" s="12">
        <f>SUMIF(A5:A30,"Dev7",C5:C30)</f>
        <v/>
      </c>
      <c r="D55" s="17">
        <f>IF(B55=0,0,C55/B55)</f>
        <v/>
      </c>
    </row>
    <row r="56">
      <c r="A56" s="5" t="inlineStr">
        <is>
          <t>Dev8</t>
        </is>
      </c>
      <c r="B56" s="12">
        <f>COUNTIF(A5:A30,"Dev8")</f>
        <v/>
      </c>
      <c r="C56" s="12">
        <f>SUMIF(A5:A30,"Dev8",C5:C30)</f>
        <v/>
      </c>
      <c r="D56" s="17">
        <f>IF(B56=0,0,C56/B56)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</cols>
  <sheetData>
    <row r="1">
      <c r="A1" s="1" t="inlineStr">
        <is>
          <t>Real Pipeline Build Durations (measured)</t>
        </is>
      </c>
    </row>
    <row r="2">
      <c r="A2" s="11" t="inlineStr">
        <is>
          <t>Source: team-bug-data-raw.xlsx, 'Builds' tab. Most components run 2-6 min; PR-build and dev-deploy dominate.</t>
        </is>
      </c>
    </row>
    <row r="4">
      <c r="A4" s="2" t="inlineStr">
        <is>
          <t>Build name</t>
        </is>
      </c>
      <c r="B4" s="2" t="inlineStr">
        <is>
          <t>Duration (min)</t>
        </is>
      </c>
      <c r="C4" s="2" t="inlineStr">
        <is>
          <t>Notes</t>
        </is>
      </c>
    </row>
    <row r="5">
      <c r="A5" s="5" t="inlineStr">
        <is>
          <t>Build Nuget Packages</t>
        </is>
      </c>
      <c r="B5" s="18" t="n">
        <v>6</v>
      </c>
      <c r="C5" s="5" t="inlineStr"/>
    </row>
    <row r="6">
      <c r="A6" s="5" t="inlineStr">
        <is>
          <t>DripsBackend-PR-Build</t>
        </is>
      </c>
      <c r="B6" s="18" t="n">
        <v>24</v>
      </c>
      <c r="C6" s="5" t="inlineStr"/>
    </row>
    <row r="7">
      <c r="A7" s="5" t="inlineStr">
        <is>
          <t>Lead Processor Build</t>
        </is>
      </c>
      <c r="B7" s="18" t="n">
        <v>9</v>
      </c>
      <c r="C7" s="5" t="inlineStr"/>
    </row>
    <row r="8">
      <c r="A8" s="5" t="inlineStr">
        <is>
          <t>DripsBackend-Build</t>
        </is>
      </c>
      <c r="B8" s="18" t="n">
        <v>10</v>
      </c>
      <c r="C8" s="5" t="inlineStr"/>
    </row>
    <row r="9">
      <c r="A9" s="5" t="inlineStr">
        <is>
          <t>Api.Gateway</t>
        </is>
      </c>
      <c r="B9" s="18" t="n">
        <v>4</v>
      </c>
      <c r="C9" s="5" t="inlineStr"/>
    </row>
    <row r="10">
      <c r="A10" s="5" t="inlineStr">
        <is>
          <t>Api.Private</t>
        </is>
      </c>
      <c r="B10" s="18" t="n">
        <v>4</v>
      </c>
      <c r="C10" s="5" t="inlineStr"/>
    </row>
    <row r="11">
      <c r="A11" s="5" t="inlineStr">
        <is>
          <t>Api.Private.Numbers</t>
        </is>
      </c>
      <c r="B11" s="18" t="n">
        <v>5</v>
      </c>
      <c r="C11" s="5" t="inlineStr"/>
    </row>
    <row r="12">
      <c r="A12" s="5" t="inlineStr">
        <is>
          <t>Api.Public</t>
        </is>
      </c>
      <c r="B12" s="18" t="n">
        <v>6</v>
      </c>
      <c r="C12" s="5" t="inlineStr"/>
    </row>
    <row r="13">
      <c r="A13" s="5" t="inlineStr">
        <is>
          <t>DripsBackend Repo Dev</t>
        </is>
      </c>
      <c r="B13" s="18" t="n">
        <v>37</v>
      </c>
      <c r="C13" s="5" t="inlineStr"/>
    </row>
    <row r="14">
      <c r="A14" s="5" t="inlineStr">
        <is>
          <t>DripsBackend-Build-Dev</t>
        </is>
      </c>
      <c r="B14" s="18" t="n">
        <v>22</v>
      </c>
      <c r="C14" s="5" t="inlineStr"/>
    </row>
    <row r="15">
      <c r="A15" s="5" t="inlineStr">
        <is>
          <t>Processors.OutboundSMS - Dev</t>
        </is>
      </c>
      <c r="B15" s="18" t="n">
        <v>4</v>
      </c>
      <c r="C15" s="5" t="inlineStr"/>
    </row>
    <row r="16">
      <c r="A16" s="5" t="inlineStr">
        <is>
          <t>Services.Campaign - Dev</t>
        </is>
      </c>
      <c r="B16" s="18" t="n">
        <v>2</v>
      </c>
      <c r="C16" s="5" t="inlineStr"/>
    </row>
    <row r="17">
      <c r="A17" s="5" t="inlineStr">
        <is>
          <t>Providers.Services - Dev</t>
        </is>
      </c>
      <c r="B17" s="18" t="n">
        <v>2</v>
      </c>
      <c r="C17" s="5" t="inlineStr"/>
    </row>
    <row r="18">
      <c r="A18" s="5" t="inlineStr">
        <is>
          <t>Engine.Services - Dev</t>
        </is>
      </c>
      <c r="B18" s="18" t="n">
        <v>2</v>
      </c>
      <c r="C18" s="5" t="inlineStr"/>
    </row>
    <row r="19">
      <c r="A19" s="5" t="inlineStr">
        <is>
          <t>DAL.Services - Dev</t>
        </is>
      </c>
      <c r="B19" s="18" t="n">
        <v>3</v>
      </c>
      <c r="C19" s="5" t="inlineStr"/>
    </row>
    <row r="20">
      <c r="A20" s="5" t="inlineStr">
        <is>
          <t>Providers - Dev</t>
        </is>
      </c>
      <c r="B20" s="18" t="n">
        <v>5</v>
      </c>
      <c r="C20" s="5" t="inlineStr"/>
    </row>
    <row r="21">
      <c r="A21" s="5" t="inlineStr">
        <is>
          <t>Hosting - Dev</t>
        </is>
      </c>
      <c r="B21" s="18" t="n">
        <v>3</v>
      </c>
      <c r="C21" s="5" t="inlineStr"/>
    </row>
    <row r="22">
      <c r="A22" s="5" t="inlineStr">
        <is>
          <t>Engine - Dev</t>
        </is>
      </c>
      <c r="B22" s="18" t="n">
        <v>3</v>
      </c>
      <c r="C22" s="5" t="inlineStr"/>
    </row>
    <row r="23">
      <c r="A23" s="5" t="inlineStr">
        <is>
          <t>Services - Dev</t>
        </is>
      </c>
      <c r="B23" s="18" t="n">
        <v>4</v>
      </c>
      <c r="C23" s="5" t="inlineStr"/>
    </row>
    <row r="24">
      <c r="A24" s="5" t="inlineStr">
        <is>
          <t>Providers.Api.Bandwidth - Dev</t>
        </is>
      </c>
      <c r="B24" s="18" t="n">
        <v>4</v>
      </c>
      <c r="C24" s="5" t="inlineStr"/>
    </row>
    <row r="25">
      <c r="A25" s="5" t="inlineStr">
        <is>
          <t>Number Inventory API - dev</t>
        </is>
      </c>
      <c r="B25" s="18" t="n">
        <v>6</v>
      </c>
      <c r="C25" s="5" t="inlineStr"/>
    </row>
    <row r="26">
      <c r="A26" s="5" t="inlineStr">
        <is>
          <t>Common.Services - Dev</t>
        </is>
      </c>
      <c r="B26" s="18" t="n">
        <v>2</v>
      </c>
      <c r="C26" s="5" t="inlineStr"/>
    </row>
    <row r="27">
      <c r="A27" s="5" t="inlineStr">
        <is>
          <t>Dal - Dev</t>
        </is>
      </c>
      <c r="B27" s="18" t="n">
        <v>2</v>
      </c>
      <c r="C27" s="5" t="inlineStr"/>
    </row>
    <row r="28">
      <c r="A28" s="5" t="inlineStr">
        <is>
          <t>Processors.WebHooks</t>
        </is>
      </c>
      <c r="B28" s="18" t="n">
        <v>5</v>
      </c>
      <c r="C28" s="5" t="inlineStr"/>
    </row>
    <row r="30">
      <c r="A30" s="3" t="inlineStr">
        <is>
          <t>Summary Statistics</t>
        </is>
      </c>
      <c r="B30" s="4" t="n"/>
      <c r="C30" s="4" t="n"/>
    </row>
    <row r="31">
      <c r="A31" s="5" t="inlineStr">
        <is>
          <t>Build count</t>
        </is>
      </c>
      <c r="B31" s="13">
        <f>COUNT(B5:B28)</f>
        <v/>
      </c>
    </row>
    <row r="32">
      <c r="A32" s="5" t="inlineStr">
        <is>
          <t>Median build duration (min)</t>
        </is>
      </c>
      <c r="B32" s="19">
        <f>MEDIAN(B5:B28)</f>
        <v/>
      </c>
    </row>
    <row r="33">
      <c r="A33" s="5" t="inlineStr">
        <is>
          <t>Mean build duration (min)</t>
        </is>
      </c>
      <c r="B33" s="19">
        <f>AVERAGE(B5:B28)</f>
        <v/>
      </c>
    </row>
    <row r="34">
      <c r="A34" s="5" t="inlineStr">
        <is>
          <t>P95 build duration (min)</t>
        </is>
      </c>
      <c r="B34" s="19">
        <f>PERCENTILE.INC(B5:B28,0.95)</f>
        <v/>
      </c>
    </row>
    <row r="35">
      <c r="A35" s="5" t="inlineStr">
        <is>
          <t>Max build duration (min)</t>
        </is>
      </c>
      <c r="B35" s="19">
        <f>MAX(B5:B28)</f>
        <v/>
      </c>
    </row>
    <row r="36">
      <c r="A36" s="5" t="inlineStr">
        <is>
          <t>Min build duration (min)</t>
        </is>
      </c>
      <c r="B36" s="19">
        <f>MIN(B5:B28)</f>
        <v/>
      </c>
    </row>
    <row r="37">
      <c r="A37" s="5" t="inlineStr">
        <is>
          <t>Sum of all builds (worst-case per PR)</t>
        </is>
      </c>
      <c r="B37" s="19">
        <f>SUM(B5:B28)</f>
        <v/>
      </c>
    </row>
    <row r="38">
      <c r="A38" s="5" t="inlineStr">
        <is>
          <t>Critical-path build (max of PR-build + dev-deploy; bottleneck per PR)</t>
        </is>
      </c>
      <c r="B38" s="19">
        <f>MAX(B5:B28)</f>
        <v/>
      </c>
    </row>
    <row r="40">
      <c r="A40" s="3" t="inlineStr">
        <is>
          <t>Effective Pipeline Duration (used by model)</t>
        </is>
      </c>
      <c r="B40" s="4" t="n"/>
      <c r="C40" s="4" t="n"/>
    </row>
    <row r="41">
      <c r="A41" s="5" t="inlineStr">
        <is>
          <t>Effective pipeline duration</t>
        </is>
      </c>
      <c r="B41" s="19">
        <f>IF(use_real_data=1,real_critical_path_min,pipeline_duration_min)</f>
        <v/>
      </c>
      <c r="C41" s="11" t="inlineStr">
        <is>
          <t>Critical-path build duration (the longest single build the developer must wait for) when use_real_data=1; placeholder otherwise. Median/mean are far too optimistic for wall-clock wait per PR.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8" customWidth="1" min="3" max="3"/>
    <col width="22" customWidth="1" min="4" max="4"/>
  </cols>
  <sheetData>
    <row r="1">
      <c r="A1" s="1" t="inlineStr">
        <is>
          <t>Team's Documented 46-Step Process — and What Repeats on Rework</t>
        </is>
      </c>
    </row>
    <row r="2">
      <c r="A2" s="11" t="inlineStr">
        <is>
          <t>Steps 1-35 are repeated when a developer catches a bug pre-QA-handoff. Steps 36-40 are additionally repeated when QA finds the bug post-handoff. Steps 41-46 (master merge) run ONCE per work-item and are not repeated for rework.</t>
        </is>
      </c>
    </row>
    <row r="4">
      <c r="A4" s="2" t="inlineStr">
        <is>
          <t>#</t>
        </is>
      </c>
      <c r="B4" s="2" t="inlineStr">
        <is>
          <t>Step</t>
        </is>
      </c>
      <c r="C4" s="2" t="inlineStr">
        <is>
          <t>Phase</t>
        </is>
      </c>
      <c r="D4" s="2" t="inlineStr">
        <is>
          <t>Repeats per rework cycle?</t>
        </is>
      </c>
    </row>
    <row r="5">
      <c r="A5" s="5" t="n">
        <v>1</v>
      </c>
      <c r="B5" s="5" t="inlineStr">
        <is>
          <t>Pull latest from development</t>
        </is>
      </c>
      <c r="C5" s="5" t="inlineStr">
        <is>
          <t>Dev-test (1-35)</t>
        </is>
      </c>
      <c r="D5" s="5" t="inlineStr">
        <is>
          <t>Yes — every rework cycle</t>
        </is>
      </c>
    </row>
    <row r="6">
      <c r="A6" s="5" t="n">
        <v>2</v>
      </c>
      <c r="B6" s="5" t="inlineStr">
        <is>
          <t>Build local NuGet packages (PowerShell script)</t>
        </is>
      </c>
      <c r="C6" s="5" t="inlineStr">
        <is>
          <t>Dev-test (1-35)</t>
        </is>
      </c>
      <c r="D6" s="5" t="inlineStr">
        <is>
          <t>Yes — every rework cycle</t>
        </is>
      </c>
    </row>
    <row r="7">
      <c r="A7" s="5" t="n">
        <v>3</v>
      </c>
      <c r="B7" s="5" t="inlineStr">
        <is>
          <t>Create feature branch + make code changes</t>
        </is>
      </c>
      <c r="C7" s="5" t="inlineStr">
        <is>
          <t>Dev-test (1-35)</t>
        </is>
      </c>
      <c r="D7" s="5" t="inlineStr">
        <is>
          <t>Yes — every rework cycle</t>
        </is>
      </c>
    </row>
    <row r="8">
      <c r="A8" s="5" t="n">
        <v>4</v>
      </c>
      <c r="B8" s="5" t="inlineStr">
        <is>
          <t>Test locally using workarounds (or skip if not possible)</t>
        </is>
      </c>
      <c r="C8" s="5" t="inlineStr">
        <is>
          <t>Dev-test (1-35)</t>
        </is>
      </c>
      <c r="D8" s="5" t="inlineStr">
        <is>
          <t>Yes — every rework cycle</t>
        </is>
      </c>
    </row>
    <row r="9">
      <c r="A9" s="5" t="n">
        <v>5</v>
      </c>
      <c r="B9" s="5" t="inlineStr">
        <is>
          <t>Run GitHub Copilot PR code analysis</t>
        </is>
      </c>
      <c r="C9" s="5" t="inlineStr">
        <is>
          <t>Dev-test (1-35)</t>
        </is>
      </c>
      <c r="D9" s="5" t="inlineStr">
        <is>
          <t>Yes — every rework cycle</t>
        </is>
      </c>
    </row>
    <row r="10">
      <c r="A10" s="5" t="n">
        <v>6</v>
      </c>
      <c r="B10" s="5" t="inlineStr">
        <is>
          <t>Address issues from Copilot analysis</t>
        </is>
      </c>
      <c r="C10" s="5" t="inlineStr">
        <is>
          <t>Dev-test (1-35)</t>
        </is>
      </c>
      <c r="D10" s="5" t="inlineStr">
        <is>
          <t>Yes — every rework cycle</t>
        </is>
      </c>
    </row>
    <row r="11">
      <c r="A11" s="5" t="n">
        <v>7</v>
      </c>
      <c r="B11" s="5" t="inlineStr">
        <is>
          <t>Re-run Copilot PR analysis to confirm clean</t>
        </is>
      </c>
      <c r="C11" s="5" t="inlineStr">
        <is>
          <t>Dev-test (1-35)</t>
        </is>
      </c>
      <c r="D11" s="5" t="inlineStr">
        <is>
          <t>Yes — every rework cycle</t>
        </is>
      </c>
    </row>
    <row r="12">
      <c r="A12" s="5" t="n">
        <v>8</v>
      </c>
      <c r="B12" s="5" t="inlineStr">
        <is>
          <t>Push changes to remote</t>
        </is>
      </c>
      <c r="C12" s="5" t="inlineStr">
        <is>
          <t>Dev-test (1-35)</t>
        </is>
      </c>
      <c r="D12" s="5" t="inlineStr">
        <is>
          <t>Yes — every rework cycle</t>
        </is>
      </c>
    </row>
    <row r="13">
      <c r="A13" s="5" t="n">
        <v>9</v>
      </c>
      <c r="B13" s="5" t="inlineStr">
        <is>
          <t>Create new PR with Copilot analysis attached</t>
        </is>
      </c>
      <c r="C13" s="5" t="inlineStr">
        <is>
          <t>Dev-test (1-35)</t>
        </is>
      </c>
      <c r="D13" s="5" t="inlineStr">
        <is>
          <t>Yes — every rework cycle</t>
        </is>
      </c>
    </row>
    <row r="14">
      <c r="A14" s="5" t="n">
        <v>10</v>
      </c>
      <c r="B14" s="5" t="inlineStr">
        <is>
          <t>Raise PR for approval + reviewer review</t>
        </is>
      </c>
      <c r="C14" s="5" t="inlineStr">
        <is>
          <t>Dev-test (1-35)</t>
        </is>
      </c>
      <c r="D14" s="5" t="inlineStr">
        <is>
          <t>Yes — every rework cycle</t>
        </is>
      </c>
    </row>
    <row r="15">
      <c r="A15" s="5" t="n">
        <v>11</v>
      </c>
      <c r="B15" s="5" t="inlineStr">
        <is>
          <t>Adjust code based on reviewer feedback</t>
        </is>
      </c>
      <c r="C15" s="5" t="inlineStr">
        <is>
          <t>Dev-test (1-35)</t>
        </is>
      </c>
      <c r="D15" s="5" t="inlineStr">
        <is>
          <t>Yes — every rework cycle</t>
        </is>
      </c>
    </row>
    <row r="16">
      <c r="A16" s="5" t="n">
        <v>12</v>
      </c>
      <c r="B16" s="5" t="inlineStr">
        <is>
          <t>Push additional changes + re-run Copilot analysis</t>
        </is>
      </c>
      <c r="C16" s="5" t="inlineStr">
        <is>
          <t>Dev-test (1-35)</t>
        </is>
      </c>
      <c r="D16" s="5" t="inlineStr">
        <is>
          <t>Yes — every rework cycle</t>
        </is>
      </c>
    </row>
    <row r="17">
      <c r="A17" s="5" t="n">
        <v>13</v>
      </c>
      <c r="B17" s="5" t="inlineStr">
        <is>
          <t>Reviewer re-reviews</t>
        </is>
      </c>
      <c r="C17" s="5" t="inlineStr">
        <is>
          <t>Dev-test (1-35)</t>
        </is>
      </c>
      <c r="D17" s="5" t="inlineStr">
        <is>
          <t>Yes — every rework cycle</t>
        </is>
      </c>
    </row>
    <row r="18">
      <c r="A18" s="5" t="n">
        <v>14</v>
      </c>
      <c r="B18" s="5" t="inlineStr">
        <is>
          <t>Approve + deploy to development environment</t>
        </is>
      </c>
      <c r="C18" s="5" t="inlineStr">
        <is>
          <t>Dev-test (1-35)</t>
        </is>
      </c>
      <c r="D18" s="5" t="inlineStr">
        <is>
          <t>Yes — every rework cycle</t>
        </is>
      </c>
    </row>
    <row r="19">
      <c r="A19" s="5" t="n">
        <v>15</v>
      </c>
      <c r="B19" s="5" t="inlineStr">
        <is>
          <t>Wait for several CI/CD builds per PR</t>
        </is>
      </c>
      <c r="C19" s="5" t="inlineStr">
        <is>
          <t>Dev-test (1-35)</t>
        </is>
      </c>
      <c r="D19" s="5" t="inlineStr">
        <is>
          <t>Yes — every rework cycle</t>
        </is>
      </c>
    </row>
    <row r="20">
      <c r="A20" s="5" t="n">
        <v>16</v>
      </c>
      <c r="B20" s="5" t="inlineStr">
        <is>
          <t>QA tests run automatically</t>
        </is>
      </c>
      <c r="C20" s="5" t="inlineStr">
        <is>
          <t>Dev-test (1-35)</t>
        </is>
      </c>
      <c r="D20" s="5" t="inlineStr">
        <is>
          <t>Yes — every rework cycle</t>
        </is>
      </c>
    </row>
    <row r="21">
      <c r="A21" s="5" t="n">
        <v>17</v>
      </c>
      <c r="B21" s="5" t="inlineStr">
        <is>
          <t>Developer investigates any failed QA tests</t>
        </is>
      </c>
      <c r="C21" s="5" t="inlineStr">
        <is>
          <t>Dev-test (1-35)</t>
        </is>
      </c>
      <c r="D21" s="5" t="inlineStr">
        <is>
          <t>Yes — every rework cycle</t>
        </is>
      </c>
    </row>
    <row r="22">
      <c r="A22" s="5" t="n">
        <v>18</v>
      </c>
      <c r="B22" s="5" t="inlineStr">
        <is>
          <t>Re-run failing QA test locally to confirm real vs false failure</t>
        </is>
      </c>
      <c r="C22" s="5" t="inlineStr">
        <is>
          <t>Dev-test (1-35)</t>
        </is>
      </c>
      <c r="D22" s="5" t="inlineStr">
        <is>
          <t>Yes — every rework cycle</t>
        </is>
      </c>
    </row>
    <row r="23">
      <c r="A23" s="5" t="n">
        <v>19</v>
      </c>
      <c r="B23" s="5" t="inlineStr">
        <is>
          <t>If real bug -&gt; begin rework cycle</t>
        </is>
      </c>
      <c r="C23" s="5" t="inlineStr">
        <is>
          <t>Dev-test (1-35)</t>
        </is>
      </c>
      <c r="D23" s="5" t="inlineStr">
        <is>
          <t>Yes — every rework cycle</t>
        </is>
      </c>
    </row>
    <row r="24">
      <c r="A24" s="5" t="n">
        <v>20</v>
      </c>
      <c r="B24" s="5" t="inlineStr">
        <is>
          <t>Pull latest from development branch</t>
        </is>
      </c>
      <c r="C24" s="5" t="inlineStr">
        <is>
          <t>Dev-test (1-35)</t>
        </is>
      </c>
      <c r="D24" s="5" t="inlineStr">
        <is>
          <t>Yes — every rework cycle</t>
        </is>
      </c>
    </row>
    <row r="25">
      <c r="A25" s="5" t="n">
        <v>21</v>
      </c>
      <c r="B25" s="5" t="inlineStr">
        <is>
          <t>Rebuild NuGet packages</t>
        </is>
      </c>
      <c r="C25" s="5" t="inlineStr">
        <is>
          <t>Dev-test (1-35)</t>
        </is>
      </c>
      <c r="D25" s="5" t="inlineStr">
        <is>
          <t>Yes — every rework cycle</t>
        </is>
      </c>
    </row>
    <row r="26">
      <c r="A26" s="5" t="n">
        <v>22</v>
      </c>
      <c r="B26" s="5" t="inlineStr">
        <is>
          <t>Create new feature branch</t>
        </is>
      </c>
      <c r="C26" s="5" t="inlineStr">
        <is>
          <t>Dev-test (1-35)</t>
        </is>
      </c>
      <c r="D26" s="5" t="inlineStr">
        <is>
          <t>Yes — every rework cycle</t>
        </is>
      </c>
    </row>
    <row r="27">
      <c r="A27" s="5" t="n">
        <v>23</v>
      </c>
      <c r="B27" s="5" t="inlineStr">
        <is>
          <t>Address identified bug</t>
        </is>
      </c>
      <c r="C27" s="5" t="inlineStr">
        <is>
          <t>Dev-test (1-35)</t>
        </is>
      </c>
      <c r="D27" s="5" t="inlineStr">
        <is>
          <t>Yes — every rework cycle</t>
        </is>
      </c>
    </row>
    <row r="28">
      <c r="A28" s="5" t="n">
        <v>24</v>
      </c>
      <c r="B28" s="5" t="inlineStr">
        <is>
          <t>Test locally if possible</t>
        </is>
      </c>
      <c r="C28" s="5" t="inlineStr">
        <is>
          <t>Dev-test (1-35)</t>
        </is>
      </c>
      <c r="D28" s="5" t="inlineStr">
        <is>
          <t>Yes — every rework cycle</t>
        </is>
      </c>
    </row>
    <row r="29">
      <c r="A29" s="5" t="n">
        <v>25</v>
      </c>
      <c r="B29" s="5" t="inlineStr">
        <is>
          <t>Run Copilot code analysis report</t>
        </is>
      </c>
      <c r="C29" s="5" t="inlineStr">
        <is>
          <t>Dev-test (1-35)</t>
        </is>
      </c>
      <c r="D29" s="5" t="inlineStr">
        <is>
          <t>Yes — every rework cycle</t>
        </is>
      </c>
    </row>
    <row r="30">
      <c r="A30" s="5" t="n">
        <v>26</v>
      </c>
      <c r="B30" s="5" t="inlineStr">
        <is>
          <t>Address issues from Copilot report</t>
        </is>
      </c>
      <c r="C30" s="5" t="inlineStr">
        <is>
          <t>Dev-test (1-35)</t>
        </is>
      </c>
      <c r="D30" s="5" t="inlineStr">
        <is>
          <t>Yes — every rework cycle</t>
        </is>
      </c>
    </row>
    <row r="31">
      <c r="A31" s="5" t="n">
        <v>27</v>
      </c>
      <c r="B31" s="5" t="inlineStr">
        <is>
          <t>Re-run Copilot analysis</t>
        </is>
      </c>
      <c r="C31" s="5" t="inlineStr">
        <is>
          <t>Dev-test (1-35)</t>
        </is>
      </c>
      <c r="D31" s="5" t="inlineStr">
        <is>
          <t>Yes — every rework cycle</t>
        </is>
      </c>
    </row>
    <row r="32">
      <c r="A32" s="5" t="n">
        <v>28</v>
      </c>
      <c r="B32" s="5" t="inlineStr">
        <is>
          <t>Push changes back to remote</t>
        </is>
      </c>
      <c r="C32" s="5" t="inlineStr">
        <is>
          <t>Dev-test (1-35)</t>
        </is>
      </c>
      <c r="D32" s="5" t="inlineStr">
        <is>
          <t>Yes — every rework cycle</t>
        </is>
      </c>
    </row>
    <row r="33">
      <c r="A33" s="5" t="n">
        <v>29</v>
      </c>
      <c r="B33" s="5" t="inlineStr">
        <is>
          <t>Create new PR copying Copilot analysis</t>
        </is>
      </c>
      <c r="C33" s="5" t="inlineStr">
        <is>
          <t>Dev-test (1-35)</t>
        </is>
      </c>
      <c r="D33" s="5" t="inlineStr">
        <is>
          <t>Yes — every rework cycle</t>
        </is>
      </c>
    </row>
    <row r="34">
      <c r="A34" s="5" t="n">
        <v>30</v>
      </c>
      <c r="B34" s="5" t="inlineStr">
        <is>
          <t>Get approvers from other developers</t>
        </is>
      </c>
      <c r="C34" s="5" t="inlineStr">
        <is>
          <t>Dev-test (1-35)</t>
        </is>
      </c>
      <c r="D34" s="5" t="inlineStr">
        <is>
          <t>Yes — every rework cycle</t>
        </is>
      </c>
    </row>
    <row r="35">
      <c r="A35" s="5" t="n">
        <v>31</v>
      </c>
      <c r="B35" s="5" t="inlineStr">
        <is>
          <t>Address any further developer feedback</t>
        </is>
      </c>
      <c r="C35" s="5" t="inlineStr">
        <is>
          <t>Dev-test (1-35)</t>
        </is>
      </c>
      <c r="D35" s="5" t="inlineStr">
        <is>
          <t>Yes — every rework cycle</t>
        </is>
      </c>
    </row>
    <row r="36">
      <c r="A36" s="5" t="n">
        <v>32</v>
      </c>
      <c r="B36" s="5" t="inlineStr">
        <is>
          <t>Re-run Copilot analysis after fix</t>
        </is>
      </c>
      <c r="C36" s="5" t="inlineStr">
        <is>
          <t>Dev-test (1-35)</t>
        </is>
      </c>
      <c r="D36" s="5" t="inlineStr">
        <is>
          <t>Yes — every rework cycle</t>
        </is>
      </c>
    </row>
    <row r="37">
      <c r="A37" s="5" t="n">
        <v>33</v>
      </c>
      <c r="B37" s="5" t="inlineStr">
        <is>
          <t>Get developers to re-approve</t>
        </is>
      </c>
      <c r="C37" s="5" t="inlineStr">
        <is>
          <t>Dev-test (1-35)</t>
        </is>
      </c>
      <c r="D37" s="5" t="inlineStr">
        <is>
          <t>Yes — every rework cycle</t>
        </is>
      </c>
    </row>
    <row r="38">
      <c r="A38" s="5" t="n">
        <v>34</v>
      </c>
      <c r="B38" s="5" t="inlineStr">
        <is>
          <t>Approve PR + redeploy to development</t>
        </is>
      </c>
      <c r="C38" s="5" t="inlineStr">
        <is>
          <t>Dev-test (1-35)</t>
        </is>
      </c>
      <c r="D38" s="5" t="inlineStr">
        <is>
          <t>Yes — every rework cycle</t>
        </is>
      </c>
    </row>
    <row r="39">
      <c r="A39" s="5" t="n">
        <v>35</v>
      </c>
      <c r="B39" s="5" t="inlineStr">
        <is>
          <t>Wait for builds to complete for deployment</t>
        </is>
      </c>
      <c r="C39" s="5" t="inlineStr">
        <is>
          <t>Dev-test (1-35)</t>
        </is>
      </c>
      <c r="D39" s="5" t="inlineStr">
        <is>
          <t>Yes — every rework cycle</t>
        </is>
      </c>
    </row>
    <row r="40">
      <c r="A40" s="5" t="n">
        <v>36</v>
      </c>
      <c r="B40" s="5" t="inlineStr">
        <is>
          <t>Investigate any failing builds (QA test or real failure)</t>
        </is>
      </c>
      <c r="C40" s="5" t="inlineStr">
        <is>
          <t>QA cycle (36-40)</t>
        </is>
      </c>
      <c r="D40" s="5" t="inlineStr">
        <is>
          <t>Only if QA catches the bug</t>
        </is>
      </c>
    </row>
    <row r="41">
      <c r="A41" s="5" t="n">
        <v>37</v>
      </c>
      <c r="B41" s="5" t="inlineStr">
        <is>
          <t>QA resource starts manual feature testing</t>
        </is>
      </c>
      <c r="C41" s="5" t="inlineStr">
        <is>
          <t>QA cycle (36-40)</t>
        </is>
      </c>
      <c r="D41" s="5" t="inlineStr">
        <is>
          <t>Only if QA catches the bug</t>
        </is>
      </c>
    </row>
    <row r="42">
      <c r="A42" s="5" t="n">
        <v>38</v>
      </c>
      <c r="B42" s="5" t="inlineStr">
        <is>
          <t>If QA finds a bug not covered by tests -&gt; new rework cycle</t>
        </is>
      </c>
      <c r="C42" s="5" t="inlineStr">
        <is>
          <t>QA cycle (36-40)</t>
        </is>
      </c>
      <c r="D42" s="5" t="inlineStr">
        <is>
          <t>Only if QA catches the bug</t>
        </is>
      </c>
    </row>
    <row r="43">
      <c r="A43" s="5" t="n">
        <v>39</v>
      </c>
      <c r="B43" s="5" t="inlineStr">
        <is>
          <t>Confirm card is clean / ready for master merge</t>
        </is>
      </c>
      <c r="C43" s="5" t="inlineStr">
        <is>
          <t>QA cycle (36-40)</t>
        </is>
      </c>
      <c r="D43" s="5" t="inlineStr">
        <is>
          <t>Only if QA catches the bug</t>
        </is>
      </c>
    </row>
    <row r="44">
      <c r="A44" s="5" t="n">
        <v>40</v>
      </c>
      <c r="B44" s="5" t="inlineStr">
        <is>
          <t>Plan master-merge steps</t>
        </is>
      </c>
      <c r="C44" s="5" t="inlineStr">
        <is>
          <t>QA cycle (36-40)</t>
        </is>
      </c>
      <c r="D44" s="5" t="inlineStr">
        <is>
          <t>Only if QA catches the bug</t>
        </is>
      </c>
    </row>
    <row r="45">
      <c r="A45" s="5" t="n">
        <v>41</v>
      </c>
      <c r="B45" s="5" t="inlineStr">
        <is>
          <t>Cherry-pick PR of changes into master branch (happy path)</t>
        </is>
      </c>
      <c r="C45" s="5" t="inlineStr">
        <is>
          <t>Master merge (41-46)</t>
        </is>
      </c>
      <c r="D45" s="5" t="inlineStr">
        <is>
          <t>No — once per work-item</t>
        </is>
      </c>
    </row>
    <row r="46">
      <c r="A46" s="5" t="n">
        <v>42</v>
      </c>
      <c r="B46" s="5" t="inlineStr">
        <is>
          <t>If merge conflicts: pull latest from master + development</t>
        </is>
      </c>
      <c r="C46" s="5" t="inlineStr">
        <is>
          <t>Master merge (41-46)</t>
        </is>
      </c>
      <c r="D46" s="5" t="inlineStr">
        <is>
          <t>No — once per work-item</t>
        </is>
      </c>
    </row>
    <row r="47">
      <c r="A47" s="5" t="n">
        <v>43</v>
      </c>
      <c r="B47" s="5" t="inlineStr">
        <is>
          <t>Create topic branch off master, cherry-pick from development</t>
        </is>
      </c>
      <c r="C47" s="5" t="inlineStr">
        <is>
          <t>Master merge (41-46)</t>
        </is>
      </c>
      <c r="D47" s="5" t="inlineStr">
        <is>
          <t>No — once per work-item</t>
        </is>
      </c>
    </row>
    <row r="48">
      <c r="A48" s="5" t="n">
        <v>44</v>
      </c>
      <c r="B48" s="5" t="inlineStr">
        <is>
          <t>Address merge conflicts + push</t>
        </is>
      </c>
      <c r="C48" s="5" t="inlineStr">
        <is>
          <t>Master merge (41-46)</t>
        </is>
      </c>
      <c r="D48" s="5" t="inlineStr">
        <is>
          <t>No — once per work-item</t>
        </is>
      </c>
    </row>
    <row r="49">
      <c r="A49" s="5" t="n">
        <v>45</v>
      </c>
      <c r="B49" s="5" t="inlineStr">
        <is>
          <t>Get approvers to approve PR into master</t>
        </is>
      </c>
      <c r="C49" s="5" t="inlineStr">
        <is>
          <t>Master merge (41-46)</t>
        </is>
      </c>
      <c r="D49" s="5" t="inlineStr">
        <is>
          <t>No — once per work-item</t>
        </is>
      </c>
    </row>
    <row r="50">
      <c r="A50" s="5" t="n">
        <v>46</v>
      </c>
      <c r="B50" s="5" t="inlineStr">
        <is>
          <t>Merge to master (final)</t>
        </is>
      </c>
      <c r="C50" s="5" t="inlineStr">
        <is>
          <t>Master merge (41-46)</t>
        </is>
      </c>
      <c r="D50" s="5" t="inlineStr">
        <is>
          <t>No — once per work-item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0" customWidth="1" min="3" max="3"/>
  </cols>
  <sheetData>
    <row r="1">
      <c r="A1" s="1" t="inlineStr">
        <is>
          <t>Internal NuGet Inner-Loop Tax — Case for Project References</t>
        </is>
      </c>
    </row>
    <row r="2">
      <c r="A2" s="11" t="inlineStr">
        <is>
          <t>Quantifies the daily/weekly cost of rebuilding internal NuGet packages on every branch switch, pull, and shared-library iteration. Compares to a ProjectReference model where the same code is consumed directly from the solution. Measured input: 6 min per local NuGet rebuild (team data).</t>
        </is>
      </c>
    </row>
    <row r="4">
      <c r="A4" s="2" t="inlineStr">
        <is>
          <t>Item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1. Daily 'pull + rebuild' tax</t>
        </is>
      </c>
      <c r="B5" s="4" t="n"/>
      <c r="C5" s="4" t="n"/>
    </row>
    <row r="6">
      <c r="A6" s="5" t="inlineStr">
        <is>
          <t>Annual NuGet rebuilds (team-wide, daily-pull pattern)</t>
        </is>
      </c>
      <c r="B6" s="13">
        <f>team_size*nuget_rebuilds_per_dev_per_day*working_days_per_year</f>
        <v/>
      </c>
      <c r="C6" s="11" t="inlineStr">
        <is>
          <t>Pulls from development branch, branch switches, NuGet feed refreshes</t>
        </is>
      </c>
    </row>
    <row r="7">
      <c r="A7" s="5" t="inlineStr">
        <is>
          <t>Annual minutes lost (wall clock)</t>
        </is>
      </c>
      <c r="B7" s="13">
        <f>B6*nuget_rebuild_min</f>
        <v/>
      </c>
    </row>
    <row r="8">
      <c r="A8" s="5" t="inlineStr">
        <is>
          <t>Annual hours lost (after idle factor)</t>
        </is>
      </c>
      <c r="B8" s="13">
        <f>B7/60*nuget_idle_factor</f>
        <v/>
      </c>
    </row>
    <row r="9">
      <c r="A9" s="5" t="inlineStr">
        <is>
          <t>Annual $ cost — daily-pull tax</t>
        </is>
      </c>
      <c r="B9" s="20">
        <f>B8*hourly_rate*context_switch_multiplier</f>
        <v/>
      </c>
    </row>
    <row r="11">
      <c r="A11" s="3" t="inlineStr">
        <is>
          <t>2. Cross-package iteration tax (active library work)</t>
        </is>
      </c>
      <c r="B11" s="4" t="n"/>
      <c r="C11" s="4" t="n"/>
    </row>
    <row r="12">
      <c r="A12" s="5" t="inlineStr">
        <is>
          <t>Annual cross-pkg feature instances (team-wide)</t>
        </is>
      </c>
      <c r="B12" s="13">
        <f>team_size*cross_pkg_features_per_dev_per_year</f>
        <v/>
      </c>
      <c r="C12" s="11" t="inlineStr">
        <is>
          <t>Features that require editing a referenced shared library</t>
        </is>
      </c>
    </row>
    <row r="13">
      <c r="A13" s="5" t="inlineStr">
        <is>
          <t>Annual extra rebuilds (iterations on libraries)</t>
        </is>
      </c>
      <c r="B13" s="13">
        <f>B12*nuget_pkgs_per_dev_per_cross_pkg_feature</f>
        <v/>
      </c>
    </row>
    <row r="14">
      <c r="A14" s="5" t="inlineStr">
        <is>
          <t>Annual minutes (wall clock)</t>
        </is>
      </c>
      <c r="B14" s="13">
        <f>B13*nuget_rebuild_min</f>
        <v/>
      </c>
    </row>
    <row r="15">
      <c r="A15" s="5" t="inlineStr">
        <is>
          <t>Annual hours (after idle factor)</t>
        </is>
      </c>
      <c r="B15" s="13">
        <f>B14/60*nuget_idle_factor</f>
        <v/>
      </c>
    </row>
    <row r="16">
      <c r="A16" s="5" t="inlineStr">
        <is>
          <t>Annual $ cost — cross-package tax</t>
        </is>
      </c>
      <c r="B16" s="20">
        <f>B15*hourly_rate*context_switch_multiplier</f>
        <v/>
      </c>
    </row>
    <row r="18">
      <c r="A18" s="3" t="inlineStr">
        <is>
          <t>3. Rework-cycle NuGet tax (step 21 of 46-step process)</t>
        </is>
      </c>
      <c r="B18" s="4" t="n"/>
      <c r="C18" s="4" t="n"/>
    </row>
    <row r="19">
      <c r="A19" s="5" t="inlineStr">
        <is>
          <t>Annual rework-cycle NuGet rebuilds</t>
        </is>
      </c>
      <c r="B19" s="13">
        <f>real_rework_items_annual*(real_avg_prs_per_rework-1)*nuget_rebuilds_per_rework_cycle</f>
        <v/>
      </c>
      <c r="C19" s="11" t="inlineStr">
        <is>
          <t>One NuGet rebuild per rework cycle (step 21 of the documented process)</t>
        </is>
      </c>
    </row>
    <row r="20">
      <c r="A20" s="5" t="inlineStr">
        <is>
          <t>Annual $ cost — rework-cycle NuGet tax</t>
        </is>
      </c>
      <c r="B20" s="20">
        <f>B19*nuget_rebuild_min/60*hourly_rate*nuget_idle_factor*context_switch_multiplier</f>
        <v/>
      </c>
    </row>
    <row r="22">
      <c r="A22" s="3" t="inlineStr">
        <is>
          <t>Totals</t>
        </is>
      </c>
      <c r="B22" s="4" t="n"/>
      <c r="C22" s="4" t="n"/>
    </row>
    <row r="23">
      <c r="A23" s="21" t="inlineStr">
        <is>
          <t>TOTAL ANNUAL NUGET TAX (status quo)</t>
        </is>
      </c>
      <c r="B23" s="22">
        <f>B9+B16+B20</f>
        <v/>
      </c>
      <c r="C23" s="21" t="n"/>
    </row>
    <row r="24">
      <c r="A24" s="5" t="inlineStr">
        <is>
          <t>Eliminable share with ProjectReferences</t>
        </is>
      </c>
      <c r="B24" s="20">
        <f>B23*pct_nuget_eliminable_with_project_refs</f>
        <v/>
      </c>
    </row>
    <row r="25">
      <c r="A25" s="5" t="inlineStr">
        <is>
          <t>Residual tax (ProjectReference world)</t>
        </is>
      </c>
      <c r="B25" s="20">
        <f>B23-B24</f>
        <v/>
      </c>
    </row>
    <row r="27">
      <c r="A27" s="3" t="inlineStr">
        <is>
          <t>Migration Investment (one-time)</t>
        </is>
      </c>
      <c r="B27" s="4" t="n"/>
      <c r="C27" s="4" t="n"/>
    </row>
    <row r="28">
      <c r="A28" s="5" t="inlineStr">
        <is>
          <t>Refactor labor cost</t>
        </is>
      </c>
      <c r="B28" s="20">
        <f>project_ref_migration_one_time_hours*project_ref_migration_team_size*hourly_rate</f>
        <v/>
      </c>
      <c r="C28" s="11" t="inlineStr">
        <is>
          <t>Convert PackageReferences -&gt; ProjectReferences for in-solution libs; update SLN</t>
        </is>
      </c>
    </row>
    <row r="29">
      <c r="A29" s="5" t="inlineStr">
        <is>
          <t>Residual NuGet pack publish cost (release-only)</t>
        </is>
      </c>
      <c r="B29" s="20">
        <f>nuget_external_consumer_pkgs_per_year*0.5*hourly_rate</f>
        <v/>
      </c>
      <c r="C29" s="11" t="inlineStr">
        <is>
          <t>Assumes 30 min of dev time per external pack we still publish</t>
        </is>
      </c>
    </row>
    <row r="30">
      <c r="A30" s="21" t="inlineStr">
        <is>
          <t>ONE-TIME + ANNUAL RESIDUAL</t>
        </is>
      </c>
      <c r="B30" s="22">
        <f>B28+B29</f>
        <v/>
      </c>
      <c r="C30" s="21" t="n"/>
    </row>
    <row r="32">
      <c r="A32" s="3" t="inlineStr">
        <is>
          <t>ROI of ProjectReference Migration (standalone)</t>
        </is>
      </c>
      <c r="B32" s="4" t="n"/>
      <c r="C32" s="4" t="n"/>
    </row>
    <row r="33">
      <c r="A33" s="21" t="inlineStr">
        <is>
          <t>ANNUAL SAVINGS (eliminable - publish cost)</t>
        </is>
      </c>
      <c r="B33" s="22">
        <f>B24-B29</f>
        <v/>
      </c>
      <c r="C33" s="21" t="n"/>
    </row>
    <row r="34">
      <c r="A34" s="5" t="inlineStr">
        <is>
          <t>Payback period (months)</t>
        </is>
      </c>
      <c r="B34" s="19">
        <f>IF(B33&gt;0,B28/(B33/12),"--")</f>
        <v/>
      </c>
    </row>
    <row r="35">
      <c r="A35" s="5" t="inlineStr">
        <is>
          <t>Year 1 net (savings - migration)</t>
        </is>
      </c>
      <c r="B35" s="20">
        <f>B33-B28</f>
        <v/>
      </c>
    </row>
    <row r="36">
      <c r="A36" s="5" t="inlineStr">
        <is>
          <t>3-year cumulative net</t>
        </is>
      </c>
      <c r="B36" s="20">
        <f>3*B33-B28</f>
        <v/>
      </c>
    </row>
    <row r="38">
      <c r="A38" s="3" t="inlineStr">
        <is>
          <t>Cycle-Time Breakdown (for the deck)</t>
        </is>
      </c>
      <c r="B38" s="4" t="n"/>
      <c r="C38" s="4" t="n"/>
    </row>
    <row r="39">
      <c r="A39" s="5" t="inlineStr">
        <is>
          <t>Median library iteration today (edit -&gt; pkg -&gt; consume)</t>
        </is>
      </c>
      <c r="B39" s="19">
        <f>nuget_rebuild_min+2</f>
        <v/>
      </c>
      <c r="C39" s="11" t="inlineStr">
        <is>
          <t>6 min rebuild + ~2 min version bump / restore</t>
        </is>
      </c>
    </row>
    <row r="40">
      <c r="A40" s="5" t="inlineStr">
        <is>
          <t>Median library iteration with ProjectReference</t>
        </is>
      </c>
      <c r="B40" s="19" t="n">
        <v>0.5</v>
      </c>
      <c r="C40" s="11" t="inlineStr">
        <is>
          <t>Incremental compile of the referenced project, typically &lt;30 sec</t>
        </is>
      </c>
    </row>
    <row r="41">
      <c r="A41" s="5" t="inlineStr">
        <is>
          <t>Cycle-time delta (min per iteration)</t>
        </is>
      </c>
      <c r="B41" s="19">
        <f>B39-B40</f>
        <v/>
      </c>
    </row>
    <row r="42">
      <c r="A42" s="5" t="inlineStr">
        <is>
          <t>Cycle-time delta (% reduction)</t>
        </is>
      </c>
      <c r="B42" s="15">
        <f>1-B40/B39</f>
        <v/>
      </c>
    </row>
    <row r="44">
      <c r="A44" s="3" t="inlineStr">
        <is>
          <t>When to keep PackageReference (counter-considerations)</t>
        </is>
      </c>
      <c r="B44" s="4" t="n"/>
      <c r="C44" s="4" t="n"/>
    </row>
    <row r="45">
      <c r="A45" s="5" t="inlineStr">
        <is>
          <t>Library has external (non-team) consumers</t>
        </is>
      </c>
      <c r="B45" s="5" t="inlineStr">
        <is>
          <t>—</t>
        </is>
      </c>
      <c r="C45" s="23" t="inlineStr">
        <is>
          <t>Still publish; ProjectRef in dev, PackageRef in CI release</t>
        </is>
      </c>
    </row>
    <row r="46">
      <c r="A46" s="5" t="inlineStr">
        <is>
          <t>Library is independently versioned for SLAs</t>
        </is>
      </c>
      <c r="B46" s="5" t="inlineStr">
        <is>
          <t>—</t>
        </is>
      </c>
      <c r="C46" s="23" t="inlineStr">
        <is>
          <t>Keep PackageReference for the discipline</t>
        </is>
      </c>
    </row>
    <row r="47">
      <c r="A47" s="5" t="inlineStr">
        <is>
          <t>Library is in a separate solution / repo</t>
        </is>
      </c>
      <c r="B47" s="5" t="inlineStr">
        <is>
          <t>—</t>
        </is>
      </c>
      <c r="C47" s="23" t="inlineStr">
        <is>
          <t>Hybrid: dotnet pack to local feed via build-pipeline</t>
        </is>
      </c>
    </row>
    <row r="48">
      <c r="A48" s="5" t="inlineStr">
        <is>
          <t>Solution build time would become unmanageable</t>
        </is>
      </c>
      <c r="B48" s="5" t="inlineStr">
        <is>
          <t>—</t>
        </is>
      </c>
      <c r="C48" s="23" t="inlineStr">
        <is>
          <t>Use SLN filters / solution slicing first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Defect Distribution and Phase Containment Effectiveness (PCE)</t>
        </is>
      </c>
    </row>
    <row r="3">
      <c r="A3" s="2" t="inlineStr">
        <is>
          <t>Stage</t>
        </is>
      </c>
      <c r="B3" s="2" t="inlineStr">
        <is>
          <t>% Today</t>
        </is>
      </c>
      <c r="C3" s="2" t="inlineStr">
        <is>
          <t>% Target</t>
        </is>
      </c>
      <c r="D3" s="2" t="inlineStr">
        <is>
          <t>Multiplier</t>
        </is>
      </c>
      <c r="E3" s="2" t="inlineStr">
        <is>
          <t>Weighted Today</t>
        </is>
      </c>
      <c r="F3" s="2" t="inlineStr">
        <is>
          <t>Weighted Target</t>
        </is>
      </c>
      <c r="G3" s="2" t="inlineStr">
        <is>
          <t>Cost Delta</t>
        </is>
      </c>
    </row>
    <row r="4">
      <c r="A4" s="5" t="inlineStr">
        <is>
          <t>Local</t>
        </is>
      </c>
      <c r="B4" s="24">
        <f>pct_today_local</f>
        <v/>
      </c>
      <c r="C4" s="24">
        <f>pct_target_local</f>
        <v/>
      </c>
      <c r="D4" s="17">
        <f>mult_local</f>
        <v/>
      </c>
      <c r="E4" s="17">
        <f>B4*D4</f>
        <v/>
      </c>
      <c r="F4" s="17">
        <f>C4*D4</f>
        <v/>
      </c>
      <c r="G4" s="17">
        <f>E4-F4</f>
        <v/>
      </c>
    </row>
    <row r="5">
      <c r="A5" s="5" t="inlineStr">
        <is>
          <t>Development</t>
        </is>
      </c>
      <c r="B5" s="24">
        <f>pct_today_dev</f>
        <v/>
      </c>
      <c r="C5" s="24">
        <f>pct_target_dev</f>
        <v/>
      </c>
      <c r="D5" s="17">
        <f>IF(use_bottom_up_multiplier=1,development_fix_total/(local_fix_hours*hourly_rate),mult_dev)</f>
        <v/>
      </c>
      <c r="E5" s="17">
        <f>B5*D5</f>
        <v/>
      </c>
      <c r="F5" s="17">
        <f>C5*D5</f>
        <v/>
      </c>
      <c r="G5" s="17">
        <f>E5-F5</f>
        <v/>
      </c>
    </row>
    <row r="6">
      <c r="A6" s="5" t="inlineStr">
        <is>
          <t>Staging / UAT</t>
        </is>
      </c>
      <c r="B6" s="24">
        <f>pct_today_stg</f>
        <v/>
      </c>
      <c r="C6" s="24">
        <f>pct_target_stg</f>
        <v/>
      </c>
      <c r="D6" s="17">
        <f>mult_stg</f>
        <v/>
      </c>
      <c r="E6" s="17">
        <f>B6*D6</f>
        <v/>
      </c>
      <c r="F6" s="17">
        <f>C6*D6</f>
        <v/>
      </c>
      <c r="G6" s="17">
        <f>E6-F6</f>
        <v/>
      </c>
    </row>
    <row r="7">
      <c r="A7" s="5" t="inlineStr">
        <is>
          <t>Production</t>
        </is>
      </c>
      <c r="B7" s="24">
        <f>pct_today_prod</f>
        <v/>
      </c>
      <c r="C7" s="24">
        <f>pct_target_prod</f>
        <v/>
      </c>
      <c r="D7" s="17">
        <f>mult_prod</f>
        <v/>
      </c>
      <c r="E7" s="17">
        <f>B7*D7</f>
        <v/>
      </c>
      <c r="F7" s="17">
        <f>C7*D7</f>
        <v/>
      </c>
      <c r="G7" s="17">
        <f>E7-F7</f>
        <v/>
      </c>
    </row>
    <row r="8">
      <c r="A8" s="21" t="inlineStr">
        <is>
          <t>Weighted average defect cost (units)</t>
        </is>
      </c>
      <c r="B8" s="25">
        <f>SUM(B4:B7)</f>
        <v/>
      </c>
      <c r="C8" s="25">
        <f>SUM(C4:C7)</f>
        <v/>
      </c>
      <c r="D8" s="21" t="n"/>
      <c r="E8" s="26">
        <f>SUM(E4:E7)</f>
        <v/>
      </c>
      <c r="F8" s="26">
        <f>SUM(F4:F7)</f>
        <v/>
      </c>
      <c r="G8" s="26">
        <f>SUM(G4:G7)</f>
        <v/>
      </c>
    </row>
    <row r="10">
      <c r="A10" s="3" t="inlineStr">
        <is>
          <t>Phase Containment Effectiveness</t>
        </is>
      </c>
      <c r="B10" s="4" t="n"/>
      <c r="C10" s="4" t="n"/>
      <c r="D10" s="4" t="n"/>
      <c r="E10" s="4" t="n"/>
      <c r="F10" s="4" t="n"/>
      <c r="G10" s="4" t="n"/>
    </row>
    <row r="11">
      <c r="A11" t="inlineStr">
        <is>
          <t>PCE(local) today</t>
        </is>
      </c>
      <c r="B11" s="15">
        <f>pct_today_local</f>
        <v/>
      </c>
    </row>
    <row r="12">
      <c r="A12" t="inlineStr">
        <is>
          <t>PCE(local) target</t>
        </is>
      </c>
      <c r="B12" s="15">
        <f>pct_target_local</f>
        <v/>
      </c>
    </row>
    <row r="13">
      <c r="A13" t="inlineStr">
        <is>
          <t>Capers Jones benchmark — median teams</t>
        </is>
      </c>
      <c r="B13" s="15" t="n">
        <v>0.55</v>
      </c>
    </row>
    <row r="14">
      <c r="A14" t="inlineStr">
        <is>
          <t>Capers Jones benchmark — elite teams</t>
        </is>
      </c>
      <c r="B14" s="15" t="n">
        <v>0.85</v>
      </c>
    </row>
    <row r="16">
      <c r="A16" s="3" t="inlineStr">
        <is>
          <t>Annual Rework Cost</t>
        </is>
      </c>
      <c r="B16" s="4" t="n"/>
      <c r="C16" s="4" t="n"/>
      <c r="D16" s="4" t="n"/>
      <c r="E16" s="4" t="n"/>
      <c r="F16" s="4" t="n"/>
      <c r="G16" s="4" t="n"/>
    </row>
    <row r="17">
      <c r="A17" t="inlineStr">
        <is>
          <t>Local fix cost ($)</t>
        </is>
      </c>
      <c r="B17" s="20">
        <f>local_fix_hours*hourly_rate</f>
        <v/>
      </c>
    </row>
    <row r="18">
      <c r="A18" t="inlineStr">
        <is>
          <t>Average defect cost today ($)</t>
        </is>
      </c>
      <c r="B18" s="20">
        <f>B17*E8</f>
        <v/>
      </c>
    </row>
    <row r="19">
      <c r="A19" t="inlineStr">
        <is>
          <t>Average defect cost target ($)</t>
        </is>
      </c>
      <c r="B19" s="20">
        <f>B17*F8</f>
        <v/>
      </c>
    </row>
    <row r="20">
      <c r="A20" t="inlineStr">
        <is>
          <t>Annual rework cost today</t>
        </is>
      </c>
      <c r="B20" s="20">
        <f>bugs_per_year*B18</f>
        <v/>
      </c>
    </row>
    <row r="21">
      <c r="A21" t="inlineStr">
        <is>
          <t>Annual rework cost target</t>
        </is>
      </c>
      <c r="B21" s="20">
        <f>bugs_per_year*B19</f>
        <v/>
      </c>
    </row>
    <row r="22">
      <c r="A22" s="21" t="inlineStr">
        <is>
          <t>ANNUAL SHIFT-LEFT SAVINGS</t>
        </is>
      </c>
      <c r="B22" s="22">
        <f>B20-B21</f>
        <v/>
      </c>
      <c r="C22" s="21" t="n"/>
      <c r="D22" s="21" t="n"/>
      <c r="E22" s="21" t="n"/>
      <c r="F22" s="21" t="n"/>
      <c r="G22" s="21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Per-Bug Cost by Detection Stage</t>
        </is>
      </c>
    </row>
    <row r="3">
      <c r="A3" s="2" t="inlineStr">
        <is>
          <t>Stage</t>
        </is>
      </c>
      <c r="B3" s="2" t="inlineStr">
        <is>
          <t>Cost ($/bug)</t>
        </is>
      </c>
      <c r="C3" s="2" t="inlineStr">
        <is>
          <t>Multiplier</t>
        </is>
      </c>
      <c r="D3" s="2" t="inlineStr">
        <is>
          <t>Notes</t>
        </is>
      </c>
    </row>
    <row r="5">
      <c r="A5" s="5" t="inlineStr">
        <is>
          <t>Local</t>
        </is>
      </c>
      <c r="B5" s="27">
        <f>local_fix_hours*hourly_rate</f>
        <v/>
      </c>
      <c r="C5" s="17" t="n">
        <v>1</v>
      </c>
      <c r="D5" s="5" t="inlineStr">
        <is>
          <t>Baseline; ~55 min of dev time</t>
        </is>
      </c>
    </row>
    <row r="6">
      <c r="A6" s="5" t="inlineStr">
        <is>
          <t>Development</t>
        </is>
      </c>
      <c r="B6" s="27">
        <f>IF(use_bottom_up_multiplier=1,development_fix_total,$B$5*mult_dev)</f>
        <v/>
      </c>
      <c r="C6" s="17">
        <f>B6/$B$5</f>
        <v/>
      </c>
      <c r="D6" s="5" t="inlineStr">
        <is>
          <t>Bottom-up if toggle ON; IBM 15x if OFF</t>
        </is>
      </c>
    </row>
    <row r="7">
      <c r="A7" s="5" t="inlineStr">
        <is>
          <t>Staging</t>
        </is>
      </c>
      <c r="B7" s="27">
        <f>$B$5*mult_stg</f>
        <v/>
      </c>
      <c r="C7" s="17">
        <f>mult_stg</f>
        <v/>
      </c>
      <c r="D7" s="5" t="inlineStr">
        <is>
          <t>IBM SSI 40x</t>
        </is>
      </c>
    </row>
    <row r="8">
      <c r="A8" s="5" t="inlineStr">
        <is>
          <t>Production</t>
        </is>
      </c>
      <c r="B8" s="27">
        <f>$B$5*mult_prod</f>
        <v/>
      </c>
      <c r="C8" s="17">
        <f>mult_prod</f>
        <v/>
      </c>
      <c r="D8" s="5" t="inlineStr">
        <is>
          <t>IBM SSI 100x; corroborated by NIST RTI 2002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Development-Fix Workflow — Bottom-Up Cost Per Bug</t>
        </is>
      </c>
    </row>
    <row r="3">
      <c r="A3" s="2" t="inlineStr">
        <is>
          <t>Step</t>
        </is>
      </c>
      <c r="B3" s="2" t="inlineStr">
        <is>
          <t>Time (min)</t>
        </is>
      </c>
      <c r="C3" s="2" t="inlineStr">
        <is>
          <t>People</t>
        </is>
      </c>
      <c r="D3" s="2" t="inlineStr">
        <is>
          <t>Idle factor</t>
        </is>
      </c>
      <c r="E3" s="2" t="inlineStr">
        <is>
          <t>Cost ($)</t>
        </is>
      </c>
      <c r="F3" s="2" t="inlineStr">
        <is>
          <t>Notes</t>
        </is>
      </c>
    </row>
    <row r="4">
      <c r="A4" s="5" t="inlineStr">
        <is>
          <t>1. Triage / create work item</t>
        </is>
      </c>
      <c r="B4" s="18">
        <f>triage_min</f>
        <v/>
      </c>
      <c r="C4" s="5" t="n">
        <v>1</v>
      </c>
      <c r="D4" s="17" t="inlineStr">
        <is>
          <t>1</t>
        </is>
      </c>
      <c r="E4" s="28">
        <f>(B4/60)*hourly_rate*C4*D4</f>
        <v/>
      </c>
      <c r="F4" s="23" t="inlineStr">
        <is>
          <t>Often + QA on top</t>
        </is>
      </c>
    </row>
    <row r="5">
      <c r="A5" s="5" t="inlineStr">
        <is>
          <t>2. Branch + repro attempt</t>
        </is>
      </c>
      <c r="B5" s="18">
        <f>branch_repro_min</f>
        <v/>
      </c>
      <c r="C5" s="5" t="n">
        <v>1</v>
      </c>
      <c r="D5" s="17" t="inlineStr">
        <is>
          <t>1</t>
        </is>
      </c>
      <c r="E5" s="28">
        <f>(B5/60)*hourly_rate*C5*D5</f>
        <v/>
      </c>
      <c r="F5" s="23" t="inlineStr">
        <is>
          <t>Repro often fails without local env</t>
        </is>
      </c>
    </row>
    <row r="6">
      <c r="A6" s="5" t="inlineStr">
        <is>
          <t>3. Code fix</t>
        </is>
      </c>
      <c r="B6" s="18">
        <f>code_fix_min</f>
        <v/>
      </c>
      <c r="C6" s="5" t="n">
        <v>1</v>
      </c>
      <c r="D6" s="17" t="inlineStr">
        <is>
          <t>1</t>
        </is>
      </c>
      <c r="E6" s="28">
        <f>(B6/60)*hourly_rate*C6*D6</f>
        <v/>
      </c>
      <c r="F6" s="23" t="inlineStr">
        <is>
          <t>Median bug</t>
        </is>
      </c>
    </row>
    <row r="7">
      <c r="A7" s="5" t="inlineStr">
        <is>
          <t>4. AI code-check prompt</t>
        </is>
      </c>
      <c r="B7" s="18">
        <f>ai_check_min</f>
        <v/>
      </c>
      <c r="C7" s="5" t="n">
        <v>1</v>
      </c>
      <c r="D7" s="17" t="inlineStr">
        <is>
          <t>1</t>
        </is>
      </c>
      <c r="E7" s="28">
        <f>(B7/60)*hourly_rate*C7*D7</f>
        <v/>
      </c>
      <c r="F7" s="23" t="inlineStr">
        <is>
          <t>Plus tool token cost (separate line)</t>
        </is>
      </c>
    </row>
    <row r="8">
      <c r="A8" s="5" t="inlineStr">
        <is>
          <t>5. Push wait (CI build/tests)</t>
        </is>
      </c>
      <c r="B8" s="18">
        <f>push_wait_min</f>
        <v/>
      </c>
      <c r="C8" s="5" t="n">
        <v>1</v>
      </c>
      <c r="D8" s="17">
        <f>push_idle_factor</f>
        <v/>
      </c>
      <c r="E8" s="28">
        <f>(B8/60)*hourly_rate*C8*D8</f>
        <v/>
      </c>
      <c r="F8" s="23" t="inlineStr">
        <is>
          <t>Idle/context-switched</t>
        </is>
      </c>
    </row>
    <row r="9">
      <c r="A9" s="5" t="inlineStr">
        <is>
          <t>6. PR create + description</t>
        </is>
      </c>
      <c r="B9" s="18">
        <f>pr_create_min</f>
        <v/>
      </c>
      <c r="C9" s="5" t="n">
        <v>1</v>
      </c>
      <c r="D9" s="17" t="inlineStr">
        <is>
          <t>1</t>
        </is>
      </c>
      <c r="E9" s="28">
        <f>(B9/60)*hourly_rate*C9*D9</f>
        <v/>
      </c>
      <c r="F9" s="23" t="inlineStr"/>
    </row>
    <row r="10">
      <c r="A10" s="5" t="inlineStr">
        <is>
          <t>7. Reviewer wait (wall-clock)</t>
        </is>
      </c>
      <c r="B10" s="18">
        <f>review_wait_hours*60</f>
        <v/>
      </c>
      <c r="C10" s="5" t="n">
        <v>1</v>
      </c>
      <c r="D10" s="17">
        <f>review_wait_idle_factor</f>
        <v/>
      </c>
      <c r="E10" s="28">
        <f>(B10/60)*hourly_rate*C10*D10</f>
        <v/>
      </c>
      <c r="F10" s="23" t="inlineStr">
        <is>
          <t>DORA review wait time</t>
        </is>
      </c>
    </row>
    <row r="11">
      <c r="A11" s="5" t="inlineStr">
        <is>
          <t>8. Reviewer review (first pass)</t>
        </is>
      </c>
      <c r="B11" s="18">
        <f>reviewer_review_min</f>
        <v/>
      </c>
      <c r="C11" s="5" t="n">
        <v>1</v>
      </c>
      <c r="D11" s="17" t="inlineStr">
        <is>
          <t>1</t>
        </is>
      </c>
      <c r="E11" s="28">
        <f>(B11/60)*hourly_rate*C11*D11</f>
        <v/>
      </c>
      <c r="F11" s="23" t="inlineStr">
        <is>
          <t>Reviewer side</t>
        </is>
      </c>
    </row>
    <row r="12">
      <c r="A12" s="5" t="inlineStr">
        <is>
          <t>9. Review rounds — dev side</t>
        </is>
      </c>
      <c r="B12" s="18">
        <f>review_round_dev_min*review_rounds</f>
        <v/>
      </c>
      <c r="C12" s="5" t="n">
        <v>1</v>
      </c>
      <c r="D12" s="17" t="inlineStr">
        <is>
          <t>1</t>
        </is>
      </c>
      <c r="E12" s="28">
        <f>(B12/60)*hourly_rate*C12*D12</f>
        <v/>
      </c>
      <c r="F12" s="23" t="inlineStr"/>
    </row>
    <row r="13">
      <c r="A13" s="5" t="inlineStr">
        <is>
          <t>10. Review rounds — reviewer side</t>
        </is>
      </c>
      <c r="B13" s="18">
        <f>review_round_reviewer_min*review_rounds</f>
        <v/>
      </c>
      <c r="C13" s="5" t="n">
        <v>1</v>
      </c>
      <c r="D13" s="17" t="inlineStr">
        <is>
          <t>1</t>
        </is>
      </c>
      <c r="E13" s="28">
        <f>(B13/60)*hourly_rate*C13*D13</f>
        <v/>
      </c>
      <c r="F13" s="23" t="inlineStr"/>
    </row>
    <row r="14">
      <c r="A14" s="5" t="inlineStr">
        <is>
          <t>11. Approve + merge</t>
        </is>
      </c>
      <c r="B14" s="18">
        <f>approve_merge_min</f>
        <v/>
      </c>
      <c r="C14" s="5" t="n">
        <v>1</v>
      </c>
      <c r="D14" s="17" t="inlineStr">
        <is>
          <t>1</t>
        </is>
      </c>
      <c r="E14" s="28">
        <f>(B14/60)*hourly_rate*C14*D14</f>
        <v/>
      </c>
      <c r="F14" s="23" t="inlineStr"/>
    </row>
    <row r="15">
      <c r="A15" s="5" t="inlineStr">
        <is>
          <t>12. Redeploy to integration (wait)</t>
        </is>
      </c>
      <c r="B15" s="18">
        <f>redeploy_min</f>
        <v/>
      </c>
      <c r="C15" s="5" t="n">
        <v>1</v>
      </c>
      <c r="D15" s="17">
        <f>redeploy_idle_factor</f>
        <v/>
      </c>
      <c r="E15" s="28">
        <f>(B15/60)*hourly_rate*C15*D15</f>
        <v/>
      </c>
      <c r="F15" s="23" t="inlineStr">
        <is>
          <t>Mostly idle</t>
        </is>
      </c>
    </row>
    <row r="16">
      <c r="A16" s="5" t="inlineStr">
        <is>
          <t>13. Re-run regression + reverify</t>
        </is>
      </c>
      <c r="B16" s="18">
        <f>reverify_min</f>
        <v/>
      </c>
      <c r="C16" s="5" t="n">
        <v>1</v>
      </c>
      <c r="D16" s="17" t="inlineStr">
        <is>
          <t>1</t>
        </is>
      </c>
      <c r="E16" s="28">
        <f>(B16/60)*hourly_rate*C16*D16</f>
        <v/>
      </c>
      <c r="F16" s="23" t="inlineStr"/>
    </row>
    <row r="17">
      <c r="A17" s="5" t="inlineStr">
        <is>
          <t>14. AI tool token cost</t>
        </is>
      </c>
      <c r="B17" s="5" t="n"/>
      <c r="C17" s="5" t="n"/>
      <c r="D17" s="5" t="n"/>
      <c r="E17" s="28">
        <f>ai_check_tool_cost</f>
        <v/>
      </c>
      <c r="F17" s="5" t="n"/>
    </row>
    <row r="18">
      <c r="A18" s="21" t="inlineStr">
        <is>
          <t>Subtotal per fix (no retry)</t>
        </is>
      </c>
      <c r="B18" s="21" t="n"/>
      <c r="C18" s="21" t="n"/>
      <c r="D18" s="21" t="n"/>
      <c r="E18" s="29">
        <f>SUM(E4:E17)</f>
        <v/>
      </c>
      <c r="F18" s="21" t="n"/>
    </row>
    <row r="19">
      <c r="A19" t="inlineStr">
        <is>
          <t>× retry adjustment (1 + retry_rate)</t>
        </is>
      </c>
      <c r="E19" s="30">
        <f>E18*(1+retry_rate)</f>
        <v/>
      </c>
    </row>
    <row r="20">
      <c r="A20" t="inlineStr">
        <is>
          <t>Team contention surcharge (other devs impeded)</t>
        </is>
      </c>
      <c r="E20" s="30">
        <f>(team_size-1)*0.25*hourly_rate</f>
        <v/>
      </c>
    </row>
    <row r="21">
      <c r="A21" t="inlineStr">
        <is>
          <t>Original-dev context reload (~22 min)</t>
        </is>
      </c>
      <c r="E21" s="30">
        <f>(22/60)*hourly_rate</f>
        <v/>
      </c>
    </row>
    <row r="22">
      <c r="A22" t="inlineStr">
        <is>
          <t>Pipeline compute (rough avg)</t>
        </is>
      </c>
      <c r="E22" s="30">
        <f>pipeline_duration_min*pipeline_cost_per_min*(1+retry_rate)</f>
        <v/>
      </c>
    </row>
    <row r="23">
      <c r="A23" s="21" t="inlineStr">
        <is>
          <t>GRAND TOTAL per development-stage fix</t>
        </is>
      </c>
      <c r="B23" s="29">
        <f>E23</f>
        <v/>
      </c>
      <c r="C23" s="21" t="n"/>
      <c r="D23" s="21" t="n"/>
      <c r="E23" s="29">
        <f>E19+E20+E21+E22</f>
        <v/>
      </c>
      <c r="F23" s="21" t="n"/>
    </row>
    <row r="25">
      <c r="A25" s="3" t="inlineStr">
        <is>
          <t>Annual Workflow Tax</t>
        </is>
      </c>
      <c r="B25" s="4" t="n"/>
      <c r="C25" s="4" t="n"/>
      <c r="D25" s="4" t="n"/>
      <c r="E25" s="4" t="n"/>
      <c r="F25" s="4" t="n"/>
    </row>
    <row r="26">
      <c r="A26" t="inlineStr">
        <is>
          <t>Development-stage bugs per year</t>
        </is>
      </c>
      <c r="E26" s="13">
        <f>bugs_per_year*pct_today_dev</f>
        <v/>
      </c>
    </row>
    <row r="27">
      <c r="A27" t="inlineStr">
        <is>
          <t>Bugs shifted to local (annual)</t>
        </is>
      </c>
      <c r="E27" s="13">
        <f>E26*pct_preventable_with_local</f>
        <v/>
      </c>
    </row>
    <row r="28">
      <c r="A28" t="inlineStr">
        <is>
          <t>Per-fix workflow tax (vs local fix cost)</t>
        </is>
      </c>
      <c r="E28" s="30">
        <f>development_fix_total - (local_fix_hours*hourly_rate)</f>
        <v/>
      </c>
    </row>
    <row r="29">
      <c r="A29" s="21" t="inlineStr">
        <is>
          <t>ANNUAL WORKFLOW TAX RECOVERABLE (if toggle OFF)</t>
        </is>
      </c>
      <c r="B29" s="21" t="n"/>
      <c r="C29" s="21" t="n"/>
      <c r="D29" s="21" t="n"/>
      <c r="E29" s="22">
        <f>E27*E28</f>
        <v/>
      </c>
      <c r="F29" s="21" t="n"/>
    </row>
    <row r="31">
      <c r="A31" s="3" t="inlineStr">
        <is>
          <t>Rework Cycles (calibrated from Real-Bug-Data tab)</t>
        </is>
      </c>
      <c r="B31" s="4" t="n"/>
      <c r="C31" s="4" t="n"/>
      <c r="D31" s="4" t="n"/>
      <c r="E31" s="4" t="n"/>
      <c r="F31" s="4" t="n"/>
    </row>
    <row r="32">
      <c r="A32" t="inlineStr">
        <is>
          <t>Annualised rework items (real data)</t>
        </is>
      </c>
      <c r="E32" s="13">
        <f>real_rework_items_annual</f>
        <v/>
      </c>
    </row>
    <row r="33">
      <c r="A33" t="inlineStr">
        <is>
          <t>Avg PRs per rework item (real)</t>
        </is>
      </c>
      <c r="E33" s="14">
        <f>real_avg_prs_per_rework</f>
        <v/>
      </c>
    </row>
    <row r="34">
      <c r="A34" t="inlineStr">
        <is>
          <t>Extra PR cycles per rework item (avg - 1)</t>
        </is>
      </c>
      <c r="E34" s="14">
        <f>E33-1</f>
        <v/>
      </c>
    </row>
    <row r="35">
      <c r="A35" t="inlineStr">
        <is>
          <t>Blended redo factor</t>
        </is>
      </c>
      <c r="E35" s="16">
        <f>redo_factor_blended</f>
        <v/>
      </c>
    </row>
    <row r="36">
      <c r="A36" t="inlineStr">
        <is>
          <t>Cost per extra rework cycle ($)</t>
        </is>
      </c>
      <c r="E36" s="30">
        <f>development_fix_total*E35</f>
        <v/>
      </c>
    </row>
    <row r="37">
      <c r="A37" t="inlineStr">
        <is>
          <t>Annual rework workflow cost (total)</t>
        </is>
      </c>
      <c r="E37" s="20">
        <f>E32*E34*E36</f>
        <v/>
      </c>
    </row>
    <row r="38">
      <c r="A38" s="21" t="inlineStr">
        <is>
          <t>ANNUAL REWORK-CYCLE TAX RECOVERABLE (real data x preventable)</t>
        </is>
      </c>
      <c r="B38" s="21" t="n"/>
      <c r="C38" s="21" t="n"/>
      <c r="D38" s="21" t="n"/>
      <c r="E38" s="22">
        <f>E37*pct_preventable_with_local</f>
        <v/>
      </c>
      <c r="F38" s="21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</cols>
  <sheetData>
    <row r="1">
      <c r="A1" s="1" t="inlineStr">
        <is>
          <t>Azure DevOps Pipeline Cost Components</t>
        </is>
      </c>
    </row>
    <row r="3">
      <c r="A3" s="2" t="inlineStr">
        <is>
          <t>Component</t>
        </is>
      </c>
      <c r="B3" s="2" t="inlineStr">
        <is>
          <t>Annual $</t>
        </is>
      </c>
      <c r="C3" s="2" t="inlineStr">
        <is>
          <t>Notes</t>
        </is>
      </c>
    </row>
    <row r="4">
      <c r="A4" s="3" t="inlineStr">
        <is>
          <t>1. Compute Cost (visible Azure invoice)</t>
        </is>
      </c>
      <c r="B4" s="4" t="n"/>
      <c r="C4" s="4" t="n"/>
    </row>
    <row r="5">
      <c r="A5" t="inlineStr">
        <is>
          <t>Total annual builds</t>
        </is>
      </c>
      <c r="B5" s="13">
        <f>team_size*builds_per_dev_per_day*working_days_per_year</f>
        <v/>
      </c>
    </row>
    <row r="6">
      <c r="A6" t="inlineStr">
        <is>
          <t>Effective pipeline duration (min)</t>
        </is>
      </c>
      <c r="B6" s="19">
        <f>effective_pipeline_min</f>
        <v/>
      </c>
      <c r="C6" s="11" t="inlineStr">
        <is>
          <t>Real-Build-Times median when use_real_data=1; else placeholder</t>
        </is>
      </c>
    </row>
    <row r="7">
      <c r="A7" t="inlineStr">
        <is>
          <t>Total pipeline minutes/year</t>
        </is>
      </c>
      <c r="B7" s="13">
        <f>B5*B6</f>
        <v/>
      </c>
    </row>
    <row r="8">
      <c r="A8" t="inlineStr">
        <is>
          <t>Compute cost (per-min)</t>
        </is>
      </c>
      <c r="B8" s="20">
        <f>B7*pipeline_cost_per_min</f>
        <v/>
      </c>
    </row>
    <row r="9">
      <c r="A9" t="inlineStr">
        <is>
          <t>Parallel-job subscription</t>
        </is>
      </c>
      <c r="B9" s="20">
        <f>IF(use_real_data=1,(ms_hosted_parallel_jobs*ms_hosted_monthly_cost+self_hosted_parallel_jobs*self_hosted_monthly_cost)*12,parallel_jobs_extra*parallel_job_monthly_cost*12)</f>
        <v/>
      </c>
      <c r="C9" s="11" t="inlineStr">
        <is>
          <t>Split into MS-hosted + self-hosted when real data is on</t>
        </is>
      </c>
    </row>
    <row r="11">
      <c r="A11" s="3" t="inlineStr">
        <is>
          <t>2. Engineer Idle Time</t>
        </is>
      </c>
      <c r="B11" s="4" t="n"/>
      <c r="C11" s="4" t="n"/>
    </row>
    <row r="12">
      <c r="A12" t="inlineStr">
        <is>
          <t>Idle hours/year (queue + build wait)</t>
        </is>
      </c>
      <c r="B12" s="13">
        <f>B5*(queue_wait_min+B6)/60</f>
        <v/>
      </c>
    </row>
    <row r="13">
      <c r="A13" t="inlineStr">
        <is>
          <t>Idle cost (with recovery factor)</t>
        </is>
      </c>
      <c r="B13" s="20">
        <f>B12*hourly_rate*pipeline_idle_recovery_factor</f>
        <v/>
      </c>
    </row>
    <row r="15">
      <c r="A15" s="3" t="inlineStr">
        <is>
          <t>3. Failed-Build Retry Overhead</t>
        </is>
      </c>
      <c r="B15" s="4" t="n"/>
      <c r="C15" s="4" t="n"/>
    </row>
    <row r="16">
      <c r="A16" t="inlineStr">
        <is>
          <t>Failed builds/year</t>
        </is>
      </c>
      <c r="B16" s="13">
        <f>B5*pipeline_failure_rate</f>
        <v/>
      </c>
    </row>
    <row r="17">
      <c r="A17" t="inlineStr">
        <is>
          <t>Of which preventable by local env</t>
        </is>
      </c>
      <c r="B17" s="13">
        <f>B16*pct_retries_caused_by_local</f>
        <v/>
      </c>
    </row>
    <row r="18">
      <c r="A18" t="inlineStr">
        <is>
          <t>Cost per retry (compute + idle)</t>
        </is>
      </c>
      <c r="B18" s="30">
        <f>(B6*pipeline_cost_per_min)+((queue_wait_min+B6)/60*hourly_rate*pipeline_idle_recovery_factor)</f>
        <v/>
      </c>
    </row>
    <row r="19">
      <c r="A19" t="inlineStr">
        <is>
          <t>Annual retry cost (recoverable)</t>
        </is>
      </c>
      <c r="B19" s="20">
        <f>B17*B18</f>
        <v/>
      </c>
    </row>
    <row r="21">
      <c r="A21" s="3" t="inlineStr">
        <is>
          <t>Summary</t>
        </is>
      </c>
      <c r="B21" s="4" t="n"/>
      <c r="C21" s="4" t="n"/>
    </row>
    <row r="22">
      <c r="A22" s="21" t="inlineStr">
        <is>
          <t>Total all-in pipeline cost (today)</t>
        </is>
      </c>
      <c r="B22" s="22">
        <f>B8+B9+B13+B19</f>
        <v/>
      </c>
      <c r="C22" s="21" t="n"/>
    </row>
    <row r="23">
      <c r="A23" s="21" t="inlineStr">
        <is>
          <t>ANNUAL PIPELINE-RETRY SAVINGS (recoverable)</t>
        </is>
      </c>
      <c r="B23" s="22">
        <f>B19</f>
        <v/>
      </c>
      <c r="C23" s="21" t="n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1" t="inlineStr">
        <is>
          <t>Cycle Time and Sprint Capacity Loss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Per-Iteration Cycle Time</t>
        </is>
      </c>
      <c r="B4" s="4" t="n"/>
      <c r="C4" s="4" t="n"/>
    </row>
    <row r="5">
      <c r="A5" t="inlineStr">
        <is>
          <t>Cycle time today (min)</t>
        </is>
      </c>
      <c r="B5" s="19">
        <f>cycle_time_today_min</f>
        <v/>
      </c>
    </row>
    <row r="6">
      <c r="A6" t="inlineStr">
        <is>
          <t>Cycle time target (min)</t>
        </is>
      </c>
      <c r="B6" s="19">
        <f>cycle_time_target_min</f>
        <v/>
      </c>
    </row>
    <row r="7">
      <c r="A7" t="inlineStr">
        <is>
          <t>Delta (min/iteration)</t>
        </is>
      </c>
      <c r="B7" s="19">
        <f>cycle_time_today_min-cycle_time_target_min</f>
        <v/>
      </c>
    </row>
    <row r="9">
      <c r="A9" s="3" t="inlineStr">
        <is>
          <t>Daily and Sprint Loss Per Dev</t>
        </is>
      </c>
      <c r="B9" s="4" t="n"/>
      <c r="C9" s="4" t="n"/>
    </row>
    <row r="10">
      <c r="A10" t="inlineStr">
        <is>
          <t>Daily cycle-time lost (min)</t>
        </is>
      </c>
      <c r="B10" s="13">
        <f>iterations_per_dev_per_day*(cycle_time_today_min-cycle_time_target_min)</f>
        <v/>
      </c>
    </row>
    <row r="11">
      <c r="A11" t="inlineStr">
        <is>
          <t>Daily effective loss (after recovery)</t>
        </is>
      </c>
      <c r="B11" s="14">
        <f>B10*cycle_idle_recovery_factor/60</f>
        <v/>
      </c>
    </row>
    <row r="12">
      <c r="A12" t="inlineStr">
        <is>
          <t>Sprint hours lost per dev</t>
        </is>
      </c>
      <c r="B12" s="13">
        <f>B11*working_days_per_sprint</f>
        <v/>
      </c>
    </row>
    <row r="13">
      <c r="A13" t="inlineStr">
        <is>
          <t>Sprint nominal capacity per dev (hrs)</t>
        </is>
      </c>
      <c r="B13" s="13">
        <f>working_days_per_sprint*7</f>
        <v/>
      </c>
    </row>
    <row r="14">
      <c r="A14" t="inlineStr">
        <is>
          <t>Sprint capacity erosion %</t>
        </is>
      </c>
      <c r="B14" s="15">
        <f>B12/B13</f>
        <v/>
      </c>
    </row>
    <row r="16">
      <c r="A16" s="3" t="inlineStr">
        <is>
          <t>Annual Team-Wide Impact</t>
        </is>
      </c>
      <c r="B16" s="4" t="n"/>
      <c r="C16" s="4" t="n"/>
    </row>
    <row r="17">
      <c r="A17" t="inlineStr">
        <is>
          <t>Annual hours lost to cycle time</t>
        </is>
      </c>
      <c r="B17" s="13">
        <f>B12*team_size*sprints_per_year</f>
        <v/>
      </c>
    </row>
    <row r="18">
      <c r="A18" s="21" t="inlineStr">
        <is>
          <t>ANNUAL SPRINT CAPACITY $ LOST (recoverable)</t>
        </is>
      </c>
      <c r="B18" s="22">
        <f>B17*hourly_rate*context_switch_multiplier</f>
        <v/>
      </c>
      <c r="C18" s="21" t="n"/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Workarounds — Self-Assessment</t>
        </is>
      </c>
    </row>
    <row r="3">
      <c r="A3" s="2" t="inlineStr">
        <is>
          <t>#</t>
        </is>
      </c>
      <c r="B3" s="2" t="inlineStr">
        <is>
          <t>Workaround</t>
        </is>
      </c>
      <c r="C3" s="2" t="inlineStr">
        <is>
          <t>We do this? (Y/P/N)</t>
        </is>
      </c>
      <c r="D3" s="2" t="inlineStr">
        <is>
          <t>Hours/week</t>
        </is>
      </c>
      <c r="E3" s="2" t="inlineStr">
        <is>
          <t>Annual cost</t>
        </is>
      </c>
    </row>
    <row r="4">
      <c r="A4" s="5" t="n">
        <v>1</v>
      </c>
      <c r="B4" s="5" t="inlineStr">
        <is>
          <t>Sharing one remote dev/test environment</t>
        </is>
      </c>
      <c r="C4" s="31" t="inlineStr"/>
      <c r="D4" s="18">
        <f>workaround_hours_per_week_total/14</f>
        <v/>
      </c>
      <c r="E4" s="27">
        <f>D4*workaround_weeks_per_year*hourly_rate</f>
        <v/>
      </c>
    </row>
    <row r="5">
      <c r="A5" s="5" t="n">
        <v>2</v>
      </c>
      <c r="B5" s="5" t="inlineStr">
        <is>
          <t>Hardcoded conn strings to Azure dev resources</t>
        </is>
      </c>
      <c r="C5" s="31" t="inlineStr"/>
      <c r="D5" s="18">
        <f>workaround_hours_per_week_total/14</f>
        <v/>
      </c>
      <c r="E5" s="27">
        <f>D5*workaround_weeks_per_year*hourly_rate</f>
        <v/>
      </c>
    </row>
    <row r="6">
      <c r="A6" s="5" t="n">
        <v>3</v>
      </c>
      <c r="B6" s="5" t="inlineStr">
        <is>
          <t>Disabled auth/security locally</t>
        </is>
      </c>
      <c r="C6" s="31" t="inlineStr"/>
      <c r="D6" s="18">
        <f>workaround_hours_per_week_total/14</f>
        <v/>
      </c>
      <c r="E6" s="27">
        <f>D6*workaround_weeks_per_year*hourly_rate</f>
        <v/>
      </c>
    </row>
    <row r="7">
      <c r="A7" s="5" t="n">
        <v>4</v>
      </c>
      <c r="B7" s="5" t="inlineStr">
        <is>
          <t>Push-to-test debugging (printf via CI)</t>
        </is>
      </c>
      <c r="C7" s="31" t="inlineStr"/>
      <c r="D7" s="18">
        <f>workaround_hours_per_week_total/14</f>
        <v/>
      </c>
      <c r="E7" s="27">
        <f>D7*workaround_weeks_per_year*hourly_rate</f>
        <v/>
      </c>
    </row>
    <row r="8">
      <c r="A8" s="5" t="n">
        <v>5</v>
      </c>
      <c r="B8" s="5" t="inlineStr">
        <is>
          <t>Mocking Azure services in code instead of emulating</t>
        </is>
      </c>
      <c r="C8" s="31" t="inlineStr"/>
      <c r="D8" s="18">
        <f>workaround_hours_per_week_total/14</f>
        <v/>
      </c>
      <c r="E8" s="27">
        <f>D8*workaround_weeks_per_year*hourly_rate</f>
        <v/>
      </c>
    </row>
    <row r="9">
      <c r="A9" s="5" t="n">
        <v>6</v>
      </c>
      <c r="B9" s="5" t="inlineStr">
        <is>
          <t>Maintaining personal/shadow Azure subscription</t>
        </is>
      </c>
      <c r="C9" s="31" t="inlineStr"/>
      <c r="D9" s="18">
        <f>workaround_hours_per_week_total/14</f>
        <v/>
      </c>
      <c r="E9" s="27">
        <f>D9*workaround_weeks_per_year*hourly_rate</f>
        <v/>
      </c>
    </row>
    <row r="10">
      <c r="A10" s="5" t="n">
        <v>7</v>
      </c>
      <c r="B10" s="5" t="inlineStr">
        <is>
          <t>Long-lived feature branches</t>
        </is>
      </c>
      <c r="C10" s="31" t="inlineStr"/>
      <c r="D10" s="18">
        <f>workaround_hours_per_week_total/14</f>
        <v/>
      </c>
      <c r="E10" s="27">
        <f>D10*workaround_weeks_per_year*hourly_rate</f>
        <v/>
      </c>
    </row>
    <row r="11">
      <c r="A11" s="5" t="n">
        <v>8</v>
      </c>
      <c r="B11" s="5" t="inlineStr">
        <is>
          <t>Comment-out-and-redeploy debugging</t>
        </is>
      </c>
      <c r="C11" s="31" t="inlineStr"/>
      <c r="D11" s="18">
        <f>workaround_hours_per_week_total/14</f>
        <v/>
      </c>
      <c r="E11" s="27">
        <f>D11*workaround_weeks_per_year*hourly_rate</f>
        <v/>
      </c>
    </row>
    <row r="12">
      <c r="A12" s="5" t="n">
        <v>9</v>
      </c>
      <c r="B12" s="5" t="inlineStr">
        <is>
          <t>Pair-debugging on a shared environment</t>
        </is>
      </c>
      <c r="C12" s="31" t="inlineStr"/>
      <c r="D12" s="18">
        <f>workaround_hours_per_week_total/14</f>
        <v/>
      </c>
      <c r="E12" s="27">
        <f>D12*workaround_weeks_per_year*hourly_rate</f>
        <v/>
      </c>
    </row>
    <row r="13">
      <c r="A13" s="5" t="n">
        <v>10</v>
      </c>
      <c r="B13" s="5" t="inlineStr">
        <is>
          <t>Skipping integration tests locally</t>
        </is>
      </c>
      <c r="C13" s="31" t="inlineStr"/>
      <c r="D13" s="18">
        <f>workaround_hours_per_week_total/14</f>
        <v/>
      </c>
      <c r="E13" s="27">
        <f>D13*workaround_weeks_per_year*hourly_rate</f>
        <v/>
      </c>
    </row>
    <row r="14">
      <c r="A14" s="5" t="n">
        <v>11</v>
      </c>
      <c r="B14" s="5" t="inlineStr">
        <is>
          <t>Manual data-prep scripts to seed shared DBs</t>
        </is>
      </c>
      <c r="C14" s="31" t="inlineStr"/>
      <c r="D14" s="18">
        <f>workaround_hours_per_week_total/14</f>
        <v/>
      </c>
      <c r="E14" s="27">
        <f>D14*workaround_weeks_per_year*hourly_rate</f>
        <v/>
      </c>
    </row>
    <row r="15">
      <c r="A15" s="5" t="n">
        <v>12</v>
      </c>
      <c r="B15" s="5" t="inlineStr">
        <is>
          <t>Long onboarding (1-2 weeks waiting for access)</t>
        </is>
      </c>
      <c r="C15" s="31" t="inlineStr"/>
      <c r="D15" s="18">
        <f>workaround_hours_per_week_total/14</f>
        <v/>
      </c>
      <c r="E15" s="27">
        <f>D15*workaround_weeks_per_year*hourly_rate</f>
        <v/>
      </c>
    </row>
    <row r="16">
      <c r="A16" s="5" t="n">
        <v>13</v>
      </c>
      <c r="B16" s="5" t="inlineStr">
        <is>
          <t>"Your turn QA" handoffs</t>
        </is>
      </c>
      <c r="C16" s="31" t="inlineStr"/>
      <c r="D16" s="18">
        <f>workaround_hours_per_week_total/14</f>
        <v/>
      </c>
      <c r="E16" s="27">
        <f>D16*workaround_weeks_per_year*hourly_rate</f>
        <v/>
      </c>
    </row>
    <row r="17">
      <c r="A17" s="5" t="n">
        <v>14</v>
      </c>
      <c r="B17" s="5" t="inlineStr">
        <is>
          <t>Disabled regression suite locally</t>
        </is>
      </c>
      <c r="C17" s="31" t="inlineStr"/>
      <c r="D17" s="18">
        <f>workaround_hours_per_week_total/14</f>
        <v/>
      </c>
      <c r="E17" s="27">
        <f>D17*workaround_weeks_per_year*hourly_rate</f>
        <v/>
      </c>
    </row>
    <row r="18">
      <c r="A18" s="21" t="n"/>
      <c r="B18" s="21" t="inlineStr">
        <is>
          <t>ANNUAL WORKAROUND TAX</t>
        </is>
      </c>
      <c r="C18" s="21" t="n"/>
      <c r="D18" s="32">
        <f>SUM(D4:D17)</f>
        <v/>
      </c>
      <c r="E18" s="22">
        <f>SUM(E4:E17)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50" customWidth="1" min="3" max="3"/>
  </cols>
  <sheetData>
    <row r="1">
      <c r="A1" s="33" t="inlineStr">
        <is>
          <t>ROI Summary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Annual Savings (recovered cost)</t>
        </is>
      </c>
      <c r="B4" s="4" t="n"/>
      <c r="C4" s="4" t="n"/>
    </row>
    <row r="5">
      <c r="A5" t="inlineStr">
        <is>
          <t>1. Shift-left rework savings</t>
        </is>
      </c>
      <c r="B5" s="20">
        <f>annual_shift_left_savings</f>
        <v/>
      </c>
      <c r="C5" s="11" t="inlineStr">
        <is>
          <t>From Defect-Distribution-PCE tab</t>
        </is>
      </c>
    </row>
    <row r="6">
      <c r="A6" t="inlineStr">
        <is>
          <t>2. Workflow tax (only if toggle OFF; else included in #1)</t>
        </is>
      </c>
      <c r="B6" s="20">
        <f>IF(use_bottom_up_multiplier=1,0,annual_workflow_tax)</f>
        <v/>
      </c>
      <c r="C6" s="11" t="inlineStr">
        <is>
          <t>Avoid double-counting</t>
        </is>
      </c>
    </row>
    <row r="7">
      <c r="A7" t="inlineStr">
        <is>
          <t>3. Sprint capacity recovered</t>
        </is>
      </c>
      <c r="B7" s="20">
        <f>annual_sprint_savings</f>
        <v/>
      </c>
      <c r="C7" s="11" t="inlineStr">
        <is>
          <t>From Cycle-Time-Sprint tab</t>
        </is>
      </c>
    </row>
    <row r="8">
      <c r="A8" t="inlineStr">
        <is>
          <t>4. Pipeline retries avoided</t>
        </is>
      </c>
      <c r="B8" s="20">
        <f>annual_pipeline_savings</f>
        <v/>
      </c>
      <c r="C8" s="11" t="inlineStr">
        <is>
          <t>From Pipeline-Cost tab</t>
        </is>
      </c>
    </row>
    <row r="9">
      <c r="A9" t="inlineStr">
        <is>
          <t>5. Workarounds eliminated</t>
        </is>
      </c>
      <c r="B9" s="20">
        <f>annual_workaround_savings</f>
        <v/>
      </c>
      <c r="C9" s="11" t="inlineStr">
        <is>
          <t>From Workarounds tab</t>
        </is>
      </c>
    </row>
    <row r="10">
      <c r="A10" t="inlineStr">
        <is>
          <t>6. Rework cycles avoided (real-data calibrated)</t>
        </is>
      </c>
      <c r="B10" s="20">
        <f>annual_rework_savings</f>
        <v/>
      </c>
      <c r="C10" s="11" t="inlineStr">
        <is>
          <t>Extra PR cycles measured in Jan-May 2026 data</t>
        </is>
      </c>
    </row>
    <row r="11">
      <c r="A11" t="inlineStr">
        <is>
          <t>7. ProjectReference migration (separately approvable)</t>
        </is>
      </c>
      <c r="B11" s="20">
        <f>IF(apply_project_ref_savings=1,annual_project_ref_savings,0)</f>
        <v/>
      </c>
      <c r="C11" s="11" t="inlineStr">
        <is>
          <t>From Nuget-vs-ProjectRef tab; toggle on Inputs to exclude</t>
        </is>
      </c>
    </row>
    <row r="12">
      <c r="A12" s="21" t="inlineStr">
        <is>
          <t>TOTAL ANNUAL SAVINGS</t>
        </is>
      </c>
      <c r="B12" s="22">
        <f>B5+B6+B7+B8+B9+B10+B11</f>
        <v/>
      </c>
      <c r="C12" s="21" t="n"/>
    </row>
    <row r="14">
      <c r="A14" s="3" t="inlineStr">
        <is>
          <t>Investment</t>
        </is>
      </c>
      <c r="B14" s="4" t="n"/>
      <c r="C14" s="4" t="n"/>
    </row>
    <row r="15">
      <c r="A15" t="inlineStr">
        <is>
          <t>One-time setup engineer cost</t>
        </is>
      </c>
      <c r="B15" s="20">
        <f>setup_engineer_hours*hourly_rate</f>
        <v/>
      </c>
    </row>
    <row r="16">
      <c r="A16" t="inlineStr">
        <is>
          <t>One-time onboarding/doc cost</t>
        </is>
      </c>
      <c r="B16" s="20">
        <f>onboarding_doc_hours*hourly_rate</f>
        <v/>
      </c>
    </row>
    <row r="17">
      <c r="A17" t="inlineStr">
        <is>
          <t>One-time training cost</t>
        </is>
      </c>
      <c r="B17" s="20">
        <f>training_hours_per_dev*team_size*hourly_rate</f>
        <v/>
      </c>
    </row>
    <row r="18">
      <c r="A18" t="inlineStr">
        <is>
          <t>One-time machine upgrade</t>
        </is>
      </c>
      <c r="B18" s="20">
        <f>machine_upgrade_cost</f>
        <v/>
      </c>
    </row>
    <row r="19">
      <c r="A19" s="21" t="inlineStr">
        <is>
          <t>TOTAL ONE-TIME INVESTMENT</t>
        </is>
      </c>
      <c r="B19" s="22">
        <f>B15+B16+B17+B18</f>
        <v/>
      </c>
      <c r="C19" s="21" t="n"/>
    </row>
    <row r="21">
      <c r="A21" t="inlineStr">
        <is>
          <t>Annual Docker license cost</t>
        </is>
      </c>
      <c r="B21" s="20">
        <f>apply_docker_license_cost*team_size*docker_license_cost_per_user_per_month*12</f>
        <v/>
      </c>
    </row>
    <row r="22">
      <c r="A22" t="inlineStr">
        <is>
          <t>Annual maintenance cost</t>
        </is>
      </c>
      <c r="B22" s="20">
        <f>annual_maintenance_hours*hourly_rate</f>
        <v/>
      </c>
    </row>
    <row r="23">
      <c r="A23" s="21" t="inlineStr">
        <is>
          <t>TOTAL ANNUAL INVESTMENT</t>
        </is>
      </c>
      <c r="B23" s="22">
        <f>B21+B22</f>
        <v/>
      </c>
      <c r="C23" s="21" t="n"/>
    </row>
    <row r="25">
      <c r="A25" s="3" t="inlineStr">
        <is>
          <t>ROI</t>
        </is>
      </c>
      <c r="B25" s="4" t="n"/>
      <c r="C25" s="4" t="n"/>
    </row>
    <row r="26">
      <c r="A26" t="inlineStr">
        <is>
          <t>Net annual savings (savings − annual cost)</t>
        </is>
      </c>
      <c r="B26" s="20">
        <f>B12-B23</f>
        <v/>
      </c>
    </row>
    <row r="27">
      <c r="A27" t="inlineStr">
        <is>
          <t>Payback period (months)</t>
        </is>
      </c>
      <c r="B27" s="19">
        <f>IF(B26&gt;0,B19/(B26/12),"--")</f>
        <v/>
      </c>
    </row>
    <row r="28">
      <c r="A28" t="inlineStr">
        <is>
          <t>Year 1 net (savings − one-time − annual)</t>
        </is>
      </c>
      <c r="B28" s="20">
        <f>B12-B19-B23</f>
        <v/>
      </c>
    </row>
    <row r="29">
      <c r="A29" t="inlineStr">
        <is>
          <t>Year 2 net</t>
        </is>
      </c>
      <c r="B29" s="20">
        <f>B12-B23</f>
        <v/>
      </c>
    </row>
    <row r="30">
      <c r="A30" t="inlineStr">
        <is>
          <t>Year 3 net</t>
        </is>
      </c>
      <c r="B30" s="20">
        <f>B12-B23</f>
        <v/>
      </c>
    </row>
    <row r="31">
      <c r="A31" t="inlineStr">
        <is>
          <t>3-year NPV (at discount_rate)</t>
        </is>
      </c>
      <c r="B31" s="20">
        <f>B28/(1+discount_rate)+B29/(1+discount_rate)^2+B30/(1+discount_rate)^3</f>
        <v/>
      </c>
    </row>
    <row r="32">
      <c r="A32" t="inlineStr">
        <is>
          <t>3-year ROI (NPV / one-time + 3yr annual)</t>
        </is>
      </c>
      <c r="B32" s="34">
        <f>(B28+B29+B30)/(B19+3*B23)</f>
        <v/>
      </c>
    </row>
    <row r="34">
      <c r="A34" s="3" t="inlineStr">
        <is>
          <t>Conservative (Downside) Sensitivity — 25% lower savings</t>
        </is>
      </c>
      <c r="B34" s="4" t="n"/>
      <c r="C34" s="4" t="n"/>
    </row>
    <row r="35">
      <c r="A35" t="inlineStr">
        <is>
          <t>Downside annual savings (75%)</t>
        </is>
      </c>
      <c r="B35" s="20">
        <f>B12*0.75</f>
        <v/>
      </c>
    </row>
    <row r="36">
      <c r="A36" t="inlineStr">
        <is>
          <t>Downside net annual</t>
        </is>
      </c>
      <c r="B36" s="20">
        <f>B35-B23</f>
        <v/>
      </c>
    </row>
    <row r="37">
      <c r="A37" t="inlineStr">
        <is>
          <t>Downside payback (months)</t>
        </is>
      </c>
      <c r="B37" s="19">
        <f>IF(B36&gt;0,B19/(B36/12),"--")</f>
        <v/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Sensitivity Analysis — How Savings Change with ±25% Inputs</t>
        </is>
      </c>
    </row>
    <row r="3">
      <c r="A3" s="11" t="inlineStr">
        <is>
          <t>Modify these scenarios in-place; the ROI Summary will update.</t>
        </is>
      </c>
    </row>
    <row r="5">
      <c r="A5" s="2" t="inlineStr">
        <is>
          <t>Input</t>
        </is>
      </c>
      <c r="B5" s="2" t="inlineStr">
        <is>
          <t>Low (-25%)</t>
        </is>
      </c>
      <c r="C5" s="2" t="inlineStr">
        <is>
          <t>Baseline</t>
        </is>
      </c>
      <c r="D5" s="2" t="inlineStr">
        <is>
          <t>High (+25%)</t>
        </is>
      </c>
    </row>
    <row r="6">
      <c r="A6" s="5" t="inlineStr">
        <is>
          <t>Bugs per year</t>
        </is>
      </c>
      <c r="B6" s="17">
        <f>bugs_per_year*0.75</f>
        <v/>
      </c>
      <c r="C6" s="17">
        <f>bugs_per_year</f>
        <v/>
      </c>
      <c r="D6" s="17">
        <f>bugs_per_year*1.25</f>
        <v/>
      </c>
    </row>
    <row r="7">
      <c r="A7" s="5" t="inlineStr">
        <is>
          <t>Hourly rate</t>
        </is>
      </c>
      <c r="B7" s="17">
        <f>hourly_rate*0.75</f>
        <v/>
      </c>
      <c r="C7" s="17">
        <f>hourly_rate</f>
        <v/>
      </c>
      <c r="D7" s="17">
        <f>hourly_rate*1.25</f>
        <v/>
      </c>
    </row>
    <row r="8">
      <c r="A8" s="5" t="inlineStr">
        <is>
          <t>Iterations per dev per day</t>
        </is>
      </c>
      <c r="B8" s="17">
        <f>iterations_per_dev_per_day*0.75</f>
        <v/>
      </c>
      <c r="C8" s="17">
        <f>iterations_per_dev_per_day</f>
        <v/>
      </c>
      <c r="D8" s="17">
        <f>iterations_per_dev_per_day*1.25</f>
        <v/>
      </c>
    </row>
    <row r="9">
      <c r="A9" s="5" t="inlineStr">
        <is>
          <t>Cycle time today (min)</t>
        </is>
      </c>
      <c r="B9" s="17">
        <f>cycle_time_today_min*0.75</f>
        <v/>
      </c>
      <c r="C9" s="17">
        <f>cycle_time_today_min</f>
        <v/>
      </c>
      <c r="D9" s="17">
        <f>cycle_time_today_min*1.25</f>
        <v/>
      </c>
    </row>
    <row r="10">
      <c r="A10" s="5" t="inlineStr">
        <is>
          <t>% preventable with local env</t>
        </is>
      </c>
      <c r="B10" s="17">
        <f>pct_preventable_with_local*0.75</f>
        <v/>
      </c>
      <c r="C10" s="17">
        <f>pct_preventable_with_local</f>
        <v/>
      </c>
      <c r="D10" s="17">
        <f>MIN(pct_preventable_with_local*1.25,1)</f>
        <v/>
      </c>
    </row>
    <row r="11">
      <c r="A11" s="5" t="inlineStr">
        <is>
          <t>Pipeline failure rate</t>
        </is>
      </c>
      <c r="B11" s="17">
        <f>pipeline_failure_rate*0.75</f>
        <v/>
      </c>
      <c r="C11" s="17">
        <f>pipeline_failure_rate</f>
        <v/>
      </c>
      <c r="D11" s="17">
        <f>pipeline_failure_rate*1.25</f>
        <v/>
      </c>
    </row>
    <row r="12">
      <c r="A12" s="5" t="inlineStr">
        <is>
          <t>Pct env/integration related</t>
        </is>
      </c>
      <c r="B12" s="17">
        <f>pct_env_or_integration_related*0.75</f>
        <v/>
      </c>
      <c r="C12" s="17">
        <f>pct_env_or_integration_related</f>
        <v/>
      </c>
      <c r="D12" s="17">
        <f>pct_env_or_integration_related*1.25</f>
        <v/>
      </c>
    </row>
    <row r="15">
      <c r="A15" s="11" t="inlineStr">
        <is>
          <t>To run a what-if, change the named-range values on the Inputs tab and observe ROI-Summary recalculate.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2026-05-12T11:31:14Z</dcterms:created>
  <dcterms:modified xsi:type="dcterms:W3CDTF">2026-05-12T11:31:14Z</dcterms:modified>
</cp:coreProperties>
</file>